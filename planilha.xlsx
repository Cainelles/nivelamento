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213" documentId="14_{3AE44733-C139-4DCE-ACF7-7A76ECA3B1AC}" xr6:coauthVersionLast="47" xr6:coauthVersionMax="47" xr10:uidLastSave="{800DB670-D309-4B02-BD32-35B87FC82596}"/>
  <bookViews>
    <workbookView xWindow="-105" yWindow="0" windowWidth="32940" windowHeight="20985" tabRatio="1000" activeTab="1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J19" i="4"/>
  <c r="K32" i="4" l="1"/>
  <c r="K20" i="4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<sst xmlns="http://schemas.openxmlformats.org/spreadsheetml/2006/main" count="2317" uniqueCount="326">
  <si>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</si>
  <si>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</si>
  <si>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</si>
  <si>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</si>
  <si>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</si>
  <si>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</si>
  <si>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</si>
  <si>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</si>
  <si>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</si>
  <si>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</si>
  <si>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</si>
  <si>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</si>
  <si>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</si>
  <si>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</si>
  <si>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</si>
  <si>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</si>
  <si>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</si>
  <si>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</si>
  <si>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</si>
  <si>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</si>
  <si>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UTDI /TE:Apoio carreg/desc.produtos qu.</t>
  </si>
  <si>
    <t>NDEL CO01 EVCO</t>
  </si>
  <si>
    <t>NÃO SE APLICA</t>
  </si>
  <si>
    <t>V-6345D: Montar recheio do cesto</t>
  </si>
  <si>
    <t>U-620(UTDI):Acompanhame.transferên.DIA</t>
  </si>
  <si>
    <t>FT6205: subst. elem. filtrantes se neces</t>
  </si>
  <si>
    <t>CAFOR:Limp.de piso de área  1ª semana</t>
  </si>
  <si>
    <t>ETA:Apoio transf.prod.químico 1ªsemana</t>
  </si>
  <si>
    <t>NDEL CO03 EVCO</t>
  </si>
  <si>
    <t>GV-2201- Transp.  material p/ area 1 sem</t>
  </si>
  <si>
    <t>GV-2201- Prep solução real dosagem 1 sem</t>
  </si>
  <si>
    <t>X</t>
  </si>
  <si>
    <t>ETA:Limpeza de piso de área 1ª semana</t>
  </si>
  <si>
    <t>ETA:Limp.piso e grade TR-6122/51 1ªsem.</t>
  </si>
  <si>
    <t>TQ-4112: Acompanhar drenagem do TQ</t>
  </si>
  <si>
    <t>FT-6201E Fazer limpeza do piso pos rem c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</si>
  <si>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</si>
  <si>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</si>
  <si>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</si>
  <si>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</si>
  <si>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</si>
  <si>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</si>
  <si>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</si>
  <si>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</si>
  <si>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</si>
  <si>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</si>
  <si>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</si>
  <si>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</si>
  <si>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</si>
  <si>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</si>
  <si>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</si>
  <si>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</si>
  <si>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CNPA LIB  PLAN</t>
  </si>
  <si>
    <t>FT-6201E Emitir relatório PRCO</t>
  </si>
  <si>
    <t>NDEL EVCO</t>
  </si>
  <si>
    <t>TQ-6216:fab.linha pac fase 4 ent tanques</t>
  </si>
  <si>
    <t>TQ-6216: Fabr.sup.p/linha d pac succão 2</t>
  </si>
  <si>
    <t>TQ-6216:Inst. vent na linha sucção fase2</t>
  </si>
  <si>
    <t>ZM05</t>
  </si>
  <si>
    <t>P-6302B Soltar Linhas/Flangear Cego</t>
  </si>
  <si>
    <t>P-6302B Remover Bloqueio Dreno</t>
  </si>
  <si>
    <t>P-6302B Remover Tampa</t>
  </si>
  <si>
    <t>P-6302B Remover Carretel/Feixe</t>
  </si>
  <si>
    <t>B-6203B: Emitir relatório PRCO</t>
  </si>
  <si>
    <t>09.12.2025</t>
  </si>
  <si>
    <t>FT-6201E D.A após limpeza limpeza</t>
  </si>
  <si>
    <t>08.12.2025</t>
  </si>
  <si>
    <t xml:space="preserve"> </t>
  </si>
  <si>
    <t>SUL TQ-4113:Remover bloqueio velho</t>
  </si>
  <si>
    <t>SUL TQ-4113:Instalar bloqueio/anel espaç</t>
  </si>
  <si>
    <t>IMPR LIB  PLAN SOCO</t>
  </si>
  <si>
    <t>TQ-4726:Substituir Válv de drenagem</t>
  </si>
  <si>
    <t>PSV-49062-Remover cap/Instal.PSV PIG</t>
  </si>
  <si>
    <t>LT/TT-45010_Fazer base do Suporte</t>
  </si>
  <si>
    <t>TQ-4726:Inst forma/ concretar caixa válv</t>
  </si>
  <si>
    <t>TQ-4726:Realizar lavagem do mini dique</t>
  </si>
  <si>
    <t>VA-4907: Realizar limpeza Tela Vent</t>
  </si>
  <si>
    <t>VA-4908: Realizar limpeza Tela Vent</t>
  </si>
  <si>
    <t>10.12.2025</t>
  </si>
  <si>
    <t>TE - CO7 - Limpeza Area e  Pq Bomba</t>
  </si>
  <si>
    <t>TE - Soda -organização e limpeza Pq Desc</t>
  </si>
  <si>
    <t>TE - CO6 - Limpeza Area e Pq Bomba</t>
  </si>
  <si>
    <t>Tubovia PLQ-1242 Ajust. base concreto</t>
  </si>
  <si>
    <t>P-4102: Apoio para IRIS</t>
  </si>
  <si>
    <t>TUBOVIA LESTE CO-5:PRCO Anexar relatório</t>
  </si>
  <si>
    <t>TQ-4412: Realizar limpeza do local</t>
  </si>
  <si>
    <t>12.12.2025</t>
  </si>
  <si>
    <t>TQ-4812:Encher big bag com terra</t>
  </si>
  <si>
    <t>11.12.2025</t>
  </si>
  <si>
    <t>TQ-4720:Encher Bags com terra</t>
  </si>
  <si>
    <t>$LIMP TQ-4108: Raspar solo contaminado</t>
  </si>
  <si>
    <t>$LIMP TQ-4108: Tamborar terra contaminad</t>
  </si>
  <si>
    <t>$LIMP TQ-4404: Raspar solo cont mini diq</t>
  </si>
  <si>
    <t>$LIMP TQ-4404: Tamborar terra contaminad</t>
  </si>
  <si>
    <t>$LIMP TQ-4720: Rasp solo contaminado</t>
  </si>
  <si>
    <t>$LIMP TQ-4720: Tamborar terra contaminad</t>
  </si>
  <si>
    <t>$LIMP B-40121A: Realizar limpeza</t>
  </si>
  <si>
    <t>RACE_VG-I-01 PLQ0007:Quebra Trech calçad</t>
  </si>
  <si>
    <t>REPLAN/SMS/SO-2025-133</t>
  </si>
  <si>
    <t>RACE_VG-I-01 PLQ0007:Esc Trech Sanar vaz</t>
  </si>
  <si>
    <t>RACE_VG-I-01 PLQ0007:Trans.bomba área</t>
  </si>
  <si>
    <t>RACE_VG-I-01 PLQ0007:Drenar local vazam</t>
  </si>
  <si>
    <t>RACE_VG-I-01 PLQ0007: Rea limp trecho lh</t>
  </si>
  <si>
    <t>B-7428:Limpeza do mangote de sucção.</t>
  </si>
  <si>
    <t>B-7428- Afogar mangote</t>
  </si>
  <si>
    <t>B-7449:Limpeza do mangote de sucção.</t>
  </si>
  <si>
    <t>B-7449-Testar e acompanhar</t>
  </si>
  <si>
    <t>B-7450:Limpeza do mangote de sucção.</t>
  </si>
  <si>
    <t>B-7450- Afogar mangote</t>
  </si>
  <si>
    <t>V-6207:Jatear/prep.pint. interna (sema 3</t>
  </si>
  <si>
    <t>V-6207: Vigia p/ esp.confinado (semana 3</t>
  </si>
  <si>
    <t>V-6344D Remover iluminação/exaustão</t>
  </si>
  <si>
    <t>V-6344D Transportar filtros p/ área</t>
  </si>
  <si>
    <t>TQ-6321C Realizar limpeza interna</t>
  </si>
  <si>
    <t>TQ-6321C Fazer limpeza externa</t>
  </si>
  <si>
    <t>TQ-6321C Remover isolamento de área</t>
  </si>
  <si>
    <t>XV-62248_Recolocar piso de concreto</t>
  </si>
  <si>
    <t>M-B-TG-6351C-01:Limpar skid ld sul TG</t>
  </si>
  <si>
    <t>M-B-TG-6351C-01:Emitir relatório PRCO</t>
  </si>
  <si>
    <t>TG-6351C-Ap/ limpeza compartimento</t>
  </si>
  <si>
    <t>FT-TG-6351C Ap/ remover filtros</t>
  </si>
  <si>
    <t>FT-TG-6351C Ap/ subs filtros de ar</t>
  </si>
  <si>
    <t>FT-TG-6351C Transp FTs novos p/ área</t>
  </si>
  <si>
    <t>FT-TG-6351C Limpar casa dos filtros</t>
  </si>
  <si>
    <t>FT-TG-6351C Transp FTs velhos p/ desc</t>
  </si>
  <si>
    <t>15.12.2025</t>
  </si>
  <si>
    <t>$LIMP MT-4124C-Lavar misturador</t>
  </si>
  <si>
    <t>LT/TT-45010_Instalar suporte p/ TANK HUB</t>
  </si>
  <si>
    <t>TQ-4726:Anexar relatório conclusão</t>
  </si>
  <si>
    <t>VA-4907: Remover/ajustar/instalar tela</t>
  </si>
  <si>
    <t>VA-4908: Verificar dimencional Tela</t>
  </si>
  <si>
    <t>VA-4908: Remover/ajustar/instalar tela</t>
  </si>
  <si>
    <t>VA-4908: Reinstalar tela</t>
  </si>
  <si>
    <t>TQ-4004: Conectar mangote p/ descarregar</t>
  </si>
  <si>
    <t>B-4014:PRCO Anexar relatório</t>
  </si>
  <si>
    <t>B-4014: Instar dreno/ sanar vazamento</t>
  </si>
  <si>
    <t>PSV-40283:Abrir flange para drena linha</t>
  </si>
  <si>
    <t>PSV-40283:Remover e flangear a cego as t</t>
  </si>
  <si>
    <t>PSV-40283:Remover flange cego das tubula</t>
  </si>
  <si>
    <t>PSV-4707: Remover PSV/Instalar cap</t>
  </si>
  <si>
    <t>PSV-4707: Remover cap/Instalar PSV</t>
  </si>
  <si>
    <t>PSV-40183:Remov./inst.flg cego TQ-4310</t>
  </si>
  <si>
    <t>PSV-40183:Remov.flg e inst.PSV TQ-4310</t>
  </si>
  <si>
    <t>PSV-42018: Remover PSV/Inst.flange cego</t>
  </si>
  <si>
    <t>PSV-42018: Remover Flange/Instalar PSV</t>
  </si>
  <si>
    <t>B-7351A- Abertura de filtro para limpeza</t>
  </si>
  <si>
    <t>B-7351A- Realizar limpeza de filtro</t>
  </si>
  <si>
    <t>B-7351A- Fechar filtro após limpeza</t>
  </si>
  <si>
    <t>B-7351A- PRCO Anexar relatório</t>
  </si>
  <si>
    <t>TQ-4113: Anexar relatório PRCO</t>
  </si>
  <si>
    <t>TQ-4108: Substituir bloqueio 4'' 150#</t>
  </si>
  <si>
    <t>TQ-4108: PRCO Anexar relatório</t>
  </si>
  <si>
    <t>U-400 CJ A B-40121A: Testar mangueiras</t>
  </si>
  <si>
    <t>U-400 CJ A B-40121A: Instalar mangueiras</t>
  </si>
  <si>
    <t>NDEL CA01</t>
  </si>
  <si>
    <t>U-400 CJ A B-40121A: Realizar drenagem</t>
  </si>
  <si>
    <t>B-40121A: Substituir junta/ estojos</t>
  </si>
  <si>
    <t>B-40121A: PRCO Anexar relatório</t>
  </si>
  <si>
    <t>B-4901C: Realiz torque no castelo</t>
  </si>
  <si>
    <t>NDEL CA02 EVCO</t>
  </si>
  <si>
    <t>MHV-4507_Adeq janela redutor/ ajust flan</t>
  </si>
  <si>
    <t>FT-4002A:Emitir relatório FCSF</t>
  </si>
  <si>
    <t>FT-4002A:Anexar (PRCO)</t>
  </si>
  <si>
    <t>B-7425- Adequar/ fabricar suporte</t>
  </si>
  <si>
    <t>B-7440: PRCO Anexar relatório</t>
  </si>
  <si>
    <t>B-7441: PRCO Anexar relatório</t>
  </si>
  <si>
    <t>SASPERS-4524: Desobstruir Asp. 01/02</t>
  </si>
  <si>
    <t>SASPERS-4524: Realizar teste de vazão</t>
  </si>
  <si>
    <t>B-7428:Remover mangote de sucção p/limpe</t>
  </si>
  <si>
    <t>B-7428:Intalar mangote de sucção após a</t>
  </si>
  <si>
    <t>B-7428- PRCO Anexar relatório</t>
  </si>
  <si>
    <t>B-7449:Remover mangote de sucção p/limpe</t>
  </si>
  <si>
    <t>B-7449:Intalar mangote de sucção após a</t>
  </si>
  <si>
    <t>B-7449- PRCO Anexar relatório</t>
  </si>
  <si>
    <t>B-7450:Remover mangote de sucção p/limpe</t>
  </si>
  <si>
    <t>B-7450:Intalar mangote de sucção após a</t>
  </si>
  <si>
    <t>B-7450- PRCO Anexar relatório</t>
  </si>
  <si>
    <t>P-6357: Emitir relatório PRCO</t>
  </si>
  <si>
    <t>FT-6201E Subst Crepinas / Inst Plug's</t>
  </si>
  <si>
    <t>V-6341A:ANEXAR RELATÓRIO (PRCO)</t>
  </si>
  <si>
    <t>XV-22603_Substituir XV</t>
  </si>
  <si>
    <t>XV-22602_Substituir XV</t>
  </si>
  <si>
    <t>HCV-22739:Instalar cuba nova</t>
  </si>
  <si>
    <t>HCV-22739:Emitir relatório PRCO</t>
  </si>
  <si>
    <t>E-6204B: Adequar Suporte</t>
  </si>
  <si>
    <t>E-6204B: Adequar tub.do ejetor</t>
  </si>
  <si>
    <t>E-6204B: Adequar linha de entreda (PVC)</t>
  </si>
  <si>
    <t>E-6204B:Emitir relatório PRCO</t>
  </si>
  <si>
    <t>B-61102B Remv flang cego suc/desc/alívio</t>
  </si>
  <si>
    <t>B-61102B Instalar válvula 3 vias</t>
  </si>
  <si>
    <t>PSV-63252A_Instalar guarda corpo</t>
  </si>
  <si>
    <t>V-6310:Fabricar spool em oficina</t>
  </si>
  <si>
    <t>V-6310:Remover linha velha V-6311</t>
  </si>
  <si>
    <t>V-6310:Instal.spool novo interl.V-6311</t>
  </si>
  <si>
    <t>PSV-63086(B6302F): Rem.PSV/Flg.cego</t>
  </si>
  <si>
    <t>PSV-63253A Fabr linha de vapor na oficin</t>
  </si>
  <si>
    <t>PSV-63253A Instalar linha vapor no campo</t>
  </si>
  <si>
    <t>PSV-63253A Cortar piso p passar linh vap</t>
  </si>
  <si>
    <t>PSV-63253A Realizar PRCO</t>
  </si>
  <si>
    <t>B-6301F Emitir Relatório PRCO</t>
  </si>
  <si>
    <t>TG-6351C Cilind.Remover cilindros p troc</t>
  </si>
  <si>
    <t>TG-6351C-Instalar mangueira de água</t>
  </si>
  <si>
    <t>TG-6351C-Remover mangueira de água</t>
  </si>
  <si>
    <t>FT-6202: limpeza preventiva2ºsem</t>
  </si>
  <si>
    <t>RA-GV-6340 Remover RA p/limp.norte V6342</t>
  </si>
  <si>
    <t>RA-GV-6340 Abrir RA para limpeza</t>
  </si>
  <si>
    <t>RA-GV-6340 Realizar limpeza p/desobstruç</t>
  </si>
  <si>
    <t>RA-GV-6340 Fechar RA após desobstrução</t>
  </si>
  <si>
    <t>RA-GV-6340 Realizar TH</t>
  </si>
  <si>
    <t>RA-GV-6340 Instalar RA após desobstrução</t>
  </si>
  <si>
    <t>RA-GV-6340 Emitir ralatório PRCO</t>
  </si>
  <si>
    <t>BL-6201B:Subst.Cilindro de Cloro 1ªsem.</t>
  </si>
  <si>
    <t>PSV-63076A:Soltar união roscada PLQ431</t>
  </si>
  <si>
    <t>PSV-63076A:Recompor veda rosca</t>
  </si>
  <si>
    <t>PSV-63076A:Conectar união roscada PLQ431</t>
  </si>
  <si>
    <t>PSV-63076A:(PRCO)Emit relat conc PLQ431</t>
  </si>
  <si>
    <t>B-6129A/B-Conec/Desc. mang ácido 2ª sem.</t>
  </si>
  <si>
    <t>U-620 B-6215A Soltar estojo ligação flan</t>
  </si>
  <si>
    <t>U-620 B-6215A Inst. estojo ligação flang</t>
  </si>
  <si>
    <t>U-612 TR-6121A Emitir relatório PRCO</t>
  </si>
  <si>
    <t>B-61101A Remov.Válv.do filtro do permuta</t>
  </si>
  <si>
    <t>B-61101A Transp.Válv.do filt p/oficin.RV</t>
  </si>
  <si>
    <t>B-61101A Transp.Válv.do filt p/campo</t>
  </si>
  <si>
    <t>B-61101A Inst.Válv.do filtro do permutad</t>
  </si>
  <si>
    <t>B-61101A Emitir relatório PRCO</t>
  </si>
  <si>
    <t>RA-GV-6304-01_Transportar p/ área</t>
  </si>
  <si>
    <t>RA-GV-6304-01_Instalar/reconectar linha</t>
  </si>
  <si>
    <t>RA-GV-6304-01 Ap.Adequar spool</t>
  </si>
  <si>
    <t>RA-GV-6304-02_Transportar p/ área</t>
  </si>
  <si>
    <t>RA-GV-6304-02_Instalar/reconectar linha</t>
  </si>
  <si>
    <t>RA-GV-6304-03_Transportar p/ área</t>
  </si>
  <si>
    <t>RA-GV-6304-03_Instalar/reconectar linha</t>
  </si>
  <si>
    <t>XV-62272: Remover spool/flangear</t>
  </si>
  <si>
    <t>XV-62272:Fabricar spool em oficina</t>
  </si>
  <si>
    <t>XV-62272: Instalar Spool</t>
  </si>
  <si>
    <t>CALDTU: Emitir relatório PRCO</t>
  </si>
  <si>
    <t>TQ-4726:Desmont Andaimes pau carga/acess</t>
  </si>
  <si>
    <t>HV-40809 D.A plataf e pau-de-carga.</t>
  </si>
  <si>
    <t>SC-7401/Polímero_M.andaime ponto 02</t>
  </si>
  <si>
    <t>MCV-4620_D.A plataf e pau-de-carga.</t>
  </si>
  <si>
    <t>VA-4907: Montar andame de acesso teto TQ</t>
  </si>
  <si>
    <t>VA-4908: Montar andame de acesso teto TQ</t>
  </si>
  <si>
    <t>HV-45056_D.A para acesso ao atuador</t>
  </si>
  <si>
    <t>HV-45075_D.A para acesso ao atuador</t>
  </si>
  <si>
    <t>HV-45095_M.A para acesso ao atuador</t>
  </si>
  <si>
    <t>HV-45112_M.A para acesso ao atuador</t>
  </si>
  <si>
    <t>HV-45087_D.A para acesso ao atuador</t>
  </si>
  <si>
    <t>HV-45102_D.A para acesso ao atuador</t>
  </si>
  <si>
    <t>HV-45105_D.A para acesso ao atuador</t>
  </si>
  <si>
    <t>MCV-4187_Adequar pau de carga</t>
  </si>
  <si>
    <t>MCV-4187_D.A de acesso e pau de carga</t>
  </si>
  <si>
    <t>HV-45081_D.A de acesso ao atuador</t>
  </si>
  <si>
    <t>P-4102: Adequar andaime</t>
  </si>
  <si>
    <t>U-730A:Montar Amdaime acesso</t>
  </si>
  <si>
    <t>MCV-4517_Desmontar bancada p/acesso</t>
  </si>
  <si>
    <t>TQ-4352 Desmontar andaime acesso</t>
  </si>
  <si>
    <t>TQ-4352 Montar estrutura p/descarte caça</t>
  </si>
  <si>
    <t>B-4014: Desmontar barraca de confianemto</t>
  </si>
  <si>
    <t>$MAND_MHV-40793_Desmontar acesso</t>
  </si>
  <si>
    <t>PSV-40283:M.A.passarela de acesso p/remo</t>
  </si>
  <si>
    <t>PSV-40283:M.A.passarela de acesso p/libr</t>
  </si>
  <si>
    <t>PSV-40283:D.A.passarela de acesso após i</t>
  </si>
  <si>
    <t>PSV-40283:D.passarela de acesso ao libra</t>
  </si>
  <si>
    <t>$MAND PSV-4707: Mont.And.de acesso</t>
  </si>
  <si>
    <t>$MAND PSV-4707: Desmontar andaime</t>
  </si>
  <si>
    <t>$MAND PSV-4031:Desmontar bancada</t>
  </si>
  <si>
    <t>PSV-40183:DA.após Inst.PSV TQ-4310</t>
  </si>
  <si>
    <t>$MAND PSV-42018: Montar bancada</t>
  </si>
  <si>
    <t>$MAND PSV-42018: Desmontar bancada</t>
  </si>
  <si>
    <t>M-DA-7401A_M.A para acesso ao Decanta.</t>
  </si>
  <si>
    <t>M-DA-7401A_D.A de acesso ao Decanta.</t>
  </si>
  <si>
    <t>$MAND Ponto AN: Montar andaime acesso</t>
  </si>
  <si>
    <t>TQ-4701:Desmontar andaime de acesso</t>
  </si>
  <si>
    <t>FV-40051 Mont.And. plataforma de acesso</t>
  </si>
  <si>
    <t>$MAND_MHV-40286_Montar acesso</t>
  </si>
  <si>
    <t>$MAND_MHV-40286_Desmontar acesso</t>
  </si>
  <si>
    <t>$MAND FT-4002A: Desmontar andaime</t>
  </si>
  <si>
    <t>$MAND MT-4124C-M.A Pau de Carga / Plataf</t>
  </si>
  <si>
    <t>$MAND B-7468-M.A.barraca/pau carga/escor</t>
  </si>
  <si>
    <t>B-7450: Montar andaime de acesso</t>
  </si>
  <si>
    <t>$MANDB-7440: Desmontar andaime de acesso</t>
  </si>
  <si>
    <t>$MANDB-7441: Desmontar andaime de acesso</t>
  </si>
  <si>
    <t>NDEL CO04 EVCO</t>
  </si>
  <si>
    <t>B-7428: Montar andaime de acesso</t>
  </si>
  <si>
    <t>B-7428- Desmontar andaime de acesso</t>
  </si>
  <si>
    <t>B-7449: Montar andaime de acesso</t>
  </si>
  <si>
    <t>B-7449- Desmontar andaime</t>
  </si>
  <si>
    <t>B-7450- Desmontar andaime de acesso</t>
  </si>
  <si>
    <t>SE-2630/31_Montar and pts 12</t>
  </si>
  <si>
    <t>$MAND_V-6341A:Dand.aplicação LIBRA</t>
  </si>
  <si>
    <t>V-6341A:D.A. PAU CARGA VGA MONTANTE VASO</t>
  </si>
  <si>
    <t>V-6341A:D.A.ACESSO/PAU CARGA VGA JUSANTE</t>
  </si>
  <si>
    <t>SE-610_D.andaime patio transformadores 1</t>
  </si>
  <si>
    <t>PN-4105_M.Acesso telhado/conf.</t>
  </si>
  <si>
    <t>CF-M-B-6263_M.A pau de carga</t>
  </si>
  <si>
    <t>CF-M-B-6263_D.A pau de carga</t>
  </si>
  <si>
    <t>HCV-22739:D.conf.p/solda GV-22501 térreo</t>
  </si>
  <si>
    <t>PI-631882_Desmontar bancada</t>
  </si>
  <si>
    <t>E-6204B: Montar barraca de confinamento</t>
  </si>
  <si>
    <t>$MAND P-6349A:M.A. p/ pintura da tubula</t>
  </si>
  <si>
    <t>SE-910_D andaime no porão de cabos</t>
  </si>
  <si>
    <t>FT-631026 Desmontar andaime</t>
  </si>
  <si>
    <t>U-620_D. and entre V-6205E/02E</t>
  </si>
  <si>
    <t>XV-63766_Montagem de plataforma acesso</t>
  </si>
  <si>
    <t>XV-62248_Desmont acesso+pau de carga</t>
  </si>
  <si>
    <t>LSH-22062_Montar andaime</t>
  </si>
  <si>
    <t>XV-23408_Montar bancada andaime</t>
  </si>
  <si>
    <t>B-6101D D.A. tablado p/ instalar bomba</t>
  </si>
  <si>
    <t>B-6101D Adeq andaime p/ instalar bomba</t>
  </si>
  <si>
    <t>XV-62584 M. A. para rem sup da provetas</t>
  </si>
  <si>
    <t>SE-520_M. Andaime áerea dos trafos</t>
  </si>
  <si>
    <t>TG-6351C-D.A. após manutenção</t>
  </si>
  <si>
    <t>FT-TG-6351C M.A. acesso para remoção</t>
  </si>
  <si>
    <t>FT-TG-6351C M. Disposito para remoção</t>
  </si>
  <si>
    <t>FT-TG-6351C D.A. após a manutenção</t>
  </si>
  <si>
    <t>$MAND-B-6101C:D.A aces blq 14"300#PLQ724</t>
  </si>
  <si>
    <t>SF-22506H Subir materiais PS</t>
  </si>
  <si>
    <t>SF-22506A Subir materiais PS</t>
  </si>
  <si>
    <t>P-6302B Ap. Andaime Rem Carretel/Feixe</t>
  </si>
  <si>
    <t>P-6302B M.A. Trava Carretel Oficina/Conf</t>
  </si>
  <si>
    <t>XV-62042_Readequar andaime p/ acesso XV</t>
  </si>
  <si>
    <t>RA-GV-6304-01 M.A.barraca confinamento</t>
  </si>
  <si>
    <t>B-6203B: D.A.pau d carga após sub.valv.r</t>
  </si>
  <si>
    <t>PI-62570_Montar bancada de andaime</t>
  </si>
  <si>
    <t>$MAND P-6348A:M.A. p/ pintura da tubula</t>
  </si>
  <si>
    <t>XY-23453_Remover trava dumper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</si>
</sst>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0.47831786936511678</c:v>
                </c:pt>
                <c:pt idx="1">
                  <c:v>0.68574463063488322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0.37312378002110469</c:v>
                </c:pt>
                <c:pt idx="1">
                  <c:v>0.89032318967586488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0.47831786936511678</c:v>
                </c:pt>
                <c:pt idx="1">
                  <c:v>0.68574463063488322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opLeftCell="A6" zoomScale="85" zoomScaleNormal="85" workbookViewId="0">
      <selection activeCell="I8" sqref="I8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45" t="s">
        <v>9</v>
      </c>
      <c r="C2" s="46"/>
      <c r="D2" s="46"/>
      <c r="E2" s="46"/>
      <c r="F2" s="46"/>
      <c r="G2" s="47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819.5</v>
      </c>
      <c r="D4" s="9">
        <v>704</v>
      </c>
      <c r="E4" s="10">
        <f>C4/D4</f>
        <v>1.1640625</v>
      </c>
      <c r="F4" s="9">
        <f>D4-C4</f>
        <v>-115.5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819.5</v>
      </c>
      <c r="D5" s="13">
        <f>D4</f>
        <v>704</v>
      </c>
      <c r="E5" s="14">
        <f>E4</f>
        <v>1.1640625</v>
      </c>
      <c r="F5" s="13">
        <f>F4</f>
        <v>-115.5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5" t="s">
        <v>10</v>
      </c>
      <c r="C7" s="46"/>
      <c r="D7" s="46"/>
      <c r="E7" s="46"/>
      <c r="F7" s="46"/>
      <c r="G7" s="47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667.1</v>
      </c>
      <c r="D9" s="9">
        <v>528</v>
      </c>
      <c r="E9" s="10">
        <f>C9/D9</f>
        <v>1.2634469696969697</v>
      </c>
      <c r="F9" s="9">
        <f>D9-C9</f>
        <v>-139.10000000000002</v>
      </c>
      <c r="G9" s="11" t="s">
        <v>7</v>
      </c>
    </row>
    <row r="10" spans="2:30" ht="15.75" thickBot="1" x14ac:dyDescent="0.3">
      <c r="B10" s="4" t="s">
        <v>6</v>
      </c>
      <c r="C10" s="5">
        <f>C9</f>
        <v>667.1</v>
      </c>
      <c r="D10" s="5">
        <f>D9</f>
        <v>528</v>
      </c>
      <c r="E10" s="6">
        <f>E9</f>
        <v>1.2634469696969697</v>
      </c>
      <c r="F10" s="5">
        <f>F9</f>
        <v>-139.10000000000002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5" t="s">
        <v>11</v>
      </c>
      <c r="C12" s="46"/>
      <c r="D12" s="46"/>
      <c r="E12" s="46"/>
      <c r="F12" s="46"/>
      <c r="G12" s="47"/>
      <c r="AD12" t="s">
        <v>67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1019.5</v>
      </c>
      <c r="D14" s="9">
        <v>968</v>
      </c>
      <c r="E14" s="10">
        <f>C14/D14</f>
        <v>1.053202479338843</v>
      </c>
      <c r="F14" s="9">
        <f>D14-C14</f>
        <v>-51.5</v>
      </c>
      <c r="G14" s="11" t="s">
        <v>7</v>
      </c>
    </row>
    <row r="15" spans="2:30" ht="15.75" thickBot="1" x14ac:dyDescent="0.3">
      <c r="B15" s="4" t="s">
        <v>6</v>
      </c>
      <c r="C15" s="5">
        <f>C14</f>
        <v>1019.5</v>
      </c>
      <c r="D15" s="5">
        <f>D14</f>
        <v>968</v>
      </c>
      <c r="E15" s="6">
        <f>E14</f>
        <v>1.053202479338843</v>
      </c>
      <c r="F15" s="5">
        <f>F14</f>
        <v>-51.5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8" t="s">
        <v>36</v>
      </c>
      <c r="C17" s="49"/>
      <c r="D17" s="50"/>
      <c r="E17" s="51" t="s">
        <v>37</v>
      </c>
      <c r="F17" s="52"/>
      <c r="G17" s="53"/>
    </row>
    <row r="18" spans="2:11" ht="15.75" thickBot="1" x14ac:dyDescent="0.3">
      <c r="B18" s="63" t="s">
        <v>9</v>
      </c>
      <c r="C18" s="64"/>
      <c r="D18" s="64"/>
      <c r="E18" s="64"/>
      <c r="F18" s="64"/>
      <c r="G18" s="65"/>
      <c r="I18" s="66" t="s">
        <v>9</v>
      </c>
      <c r="J18" s="67"/>
      <c r="K18" s="68"/>
    </row>
    <row r="19" spans="2:11" x14ac:dyDescent="0.25">
      <c r="B19" s="54"/>
      <c r="C19" s="55"/>
      <c r="D19" s="55"/>
      <c r="E19" s="55"/>
      <c r="F19" s="55"/>
      <c r="G19" s="56"/>
      <c r="I19" s="34" t="s">
        <v>50</v>
      </c>
      <c r="J19" s="33">
        <f>SUM(J20:J21)</f>
        <v>847.4</v>
      </c>
      <c r="K19" s="35">
        <f>E4</f>
        <v>1.1640625</v>
      </c>
    </row>
    <row r="20" spans="2:11" x14ac:dyDescent="0.25">
      <c r="B20" s="57"/>
      <c r="C20" s="58"/>
      <c r="D20" s="58"/>
      <c r="E20" s="58"/>
      <c r="F20" s="58"/>
      <c r="G20" s="59"/>
      <c r="I20" s="36" t="s">
        <v>48</v>
      </c>
      <c r="J20" s="32">
        <f>'AUSETU T.E'!H1</f>
        <v>348.2</v>
      </c>
      <c r="K20" s="37">
        <f>J20*K19/J19</f>
        <v>0.47831786936511678</v>
      </c>
    </row>
    <row r="21" spans="2:11" ht="15.75" thickBot="1" x14ac:dyDescent="0.3">
      <c r="B21" s="57"/>
      <c r="C21" s="58"/>
      <c r="D21" s="58"/>
      <c r="E21" s="58"/>
      <c r="F21" s="58"/>
      <c r="G21" s="59"/>
      <c r="I21" s="38" t="s">
        <v>49</v>
      </c>
      <c r="J21" s="39">
        <f>'AUSETU UT'!H1</f>
        <v>499.2</v>
      </c>
      <c r="K21" s="40">
        <f>J21*K19/J19</f>
        <v>0.68574463063488322</v>
      </c>
    </row>
    <row r="22" spans="2:11" x14ac:dyDescent="0.25">
      <c r="B22" s="57"/>
      <c r="C22" s="58"/>
      <c r="D22" s="58"/>
      <c r="E22" s="58"/>
      <c r="F22" s="58"/>
      <c r="G22" s="59"/>
    </row>
    <row r="23" spans="2:11" x14ac:dyDescent="0.25">
      <c r="B23" s="57"/>
      <c r="C23" s="58"/>
      <c r="D23" s="58"/>
      <c r="E23" s="58"/>
      <c r="F23" s="58"/>
      <c r="G23" s="59"/>
    </row>
    <row r="24" spans="2:11" x14ac:dyDescent="0.25">
      <c r="B24" s="57"/>
      <c r="C24" s="58"/>
      <c r="D24" s="58"/>
      <c r="E24" s="58"/>
      <c r="F24" s="58"/>
      <c r="G24" s="59"/>
    </row>
    <row r="25" spans="2:11" x14ac:dyDescent="0.25">
      <c r="B25" s="57"/>
      <c r="C25" s="58"/>
      <c r="D25" s="58"/>
      <c r="E25" s="58"/>
      <c r="F25" s="58"/>
      <c r="G25" s="59"/>
    </row>
    <row r="26" spans="2:11" x14ac:dyDescent="0.25">
      <c r="B26" s="57"/>
      <c r="C26" s="58"/>
      <c r="D26" s="58"/>
      <c r="E26" s="58"/>
      <c r="F26" s="58"/>
      <c r="G26" s="59"/>
    </row>
    <row r="27" spans="2:11" x14ac:dyDescent="0.25">
      <c r="B27" s="57"/>
      <c r="C27" s="58"/>
      <c r="D27" s="58"/>
      <c r="E27" s="58"/>
      <c r="F27" s="58"/>
      <c r="G27" s="59"/>
    </row>
    <row r="28" spans="2:11" ht="15.75" thickBot="1" x14ac:dyDescent="0.3">
      <c r="B28" s="69"/>
      <c r="C28" s="70"/>
      <c r="D28" s="70"/>
      <c r="E28" s="70"/>
      <c r="F28" s="70"/>
      <c r="G28" s="71"/>
    </row>
    <row r="29" spans="2:11" ht="15.75" thickBot="1" x14ac:dyDescent="0.3">
      <c r="B29" s="63" t="s">
        <v>10</v>
      </c>
      <c r="C29" s="64"/>
      <c r="D29" s="64"/>
      <c r="E29" s="64"/>
      <c r="F29" s="64"/>
      <c r="G29" s="65"/>
      <c r="I29" s="66" t="s">
        <v>10</v>
      </c>
      <c r="J29" s="67"/>
      <c r="K29" s="68"/>
    </row>
    <row r="30" spans="2:11" x14ac:dyDescent="0.25">
      <c r="B30" s="54"/>
      <c r="C30" s="55"/>
      <c r="D30" s="55"/>
      <c r="E30" s="55"/>
      <c r="F30" s="55"/>
      <c r="G30" s="56"/>
      <c r="I30" s="34" t="s">
        <v>50</v>
      </c>
      <c r="J30" s="33">
        <f>SUM(J31:J32)</f>
        <v>669.09999999999991</v>
      </c>
      <c r="K30" s="35">
        <f>E9</f>
        <v>1.2634469696969697</v>
      </c>
    </row>
    <row r="31" spans="2:11" x14ac:dyDescent="0.25">
      <c r="B31" s="57"/>
      <c r="C31" s="58"/>
      <c r="D31" s="58"/>
      <c r="E31" s="58"/>
      <c r="F31" s="58"/>
      <c r="G31" s="59"/>
      <c r="I31" s="36" t="s">
        <v>48</v>
      </c>
      <c r="J31" s="32">
        <f>'CALDTU T.E'!H1</f>
        <v>197.59999999999991</v>
      </c>
      <c r="K31" s="37">
        <f>J31*K30/J30</f>
        <v>0.37312378002110469</v>
      </c>
    </row>
    <row r="32" spans="2:11" ht="15.75" thickBot="1" x14ac:dyDescent="0.3">
      <c r="B32" s="57"/>
      <c r="C32" s="58"/>
      <c r="D32" s="58"/>
      <c r="E32" s="58"/>
      <c r="F32" s="58"/>
      <c r="G32" s="59"/>
      <c r="I32" s="38" t="s">
        <v>49</v>
      </c>
      <c r="J32" s="39">
        <f>'CALDTU UT'!H1</f>
        <v>471.49999999999994</v>
      </c>
      <c r="K32" s="40">
        <f>J32*K30/J30</f>
        <v>0.89032318967586488</v>
      </c>
    </row>
    <row r="33" spans="2:15" x14ac:dyDescent="0.25">
      <c r="B33" s="57"/>
      <c r="C33" s="58"/>
      <c r="D33" s="58"/>
      <c r="E33" s="58"/>
      <c r="F33" s="58"/>
      <c r="G33" s="59"/>
    </row>
    <row r="34" spans="2:15" x14ac:dyDescent="0.25">
      <c r="B34" s="57"/>
      <c r="C34" s="58"/>
      <c r="D34" s="58"/>
      <c r="E34" s="58"/>
      <c r="F34" s="58"/>
      <c r="G34" s="59"/>
    </row>
    <row r="35" spans="2:15" x14ac:dyDescent="0.25">
      <c r="B35" s="57"/>
      <c r="C35" s="58"/>
      <c r="D35" s="58"/>
      <c r="E35" s="58"/>
      <c r="F35" s="58"/>
      <c r="G35" s="59"/>
    </row>
    <row r="36" spans="2:15" x14ac:dyDescent="0.25">
      <c r="B36" s="57"/>
      <c r="C36" s="58"/>
      <c r="D36" s="58"/>
      <c r="E36" s="58"/>
      <c r="F36" s="58"/>
      <c r="G36" s="59"/>
    </row>
    <row r="37" spans="2:15" x14ac:dyDescent="0.25">
      <c r="B37" s="57"/>
      <c r="C37" s="58"/>
      <c r="D37" s="58"/>
      <c r="E37" s="58"/>
      <c r="F37" s="58"/>
      <c r="G37" s="59"/>
    </row>
    <row r="38" spans="2:15" x14ac:dyDescent="0.25">
      <c r="B38" s="57"/>
      <c r="C38" s="58"/>
      <c r="D38" s="58"/>
      <c r="E38" s="58"/>
      <c r="F38" s="58"/>
      <c r="G38" s="59"/>
    </row>
    <row r="39" spans="2:15" ht="15.75" thickBot="1" x14ac:dyDescent="0.3">
      <c r="B39" s="69"/>
      <c r="C39" s="70"/>
      <c r="D39" s="70"/>
      <c r="E39" s="70"/>
      <c r="F39" s="70"/>
      <c r="G39" s="71"/>
    </row>
    <row r="40" spans="2:15" ht="15.75" thickBot="1" x14ac:dyDescent="0.3">
      <c r="B40" s="63" t="s">
        <v>11</v>
      </c>
      <c r="C40" s="64"/>
      <c r="D40" s="64"/>
      <c r="E40" s="64"/>
      <c r="F40" s="64"/>
      <c r="G40" s="65"/>
      <c r="I40" s="66" t="s">
        <v>11</v>
      </c>
      <c r="J40" s="67"/>
      <c r="K40" s="68"/>
    </row>
    <row r="41" spans="2:15" x14ac:dyDescent="0.25">
      <c r="B41" s="54"/>
      <c r="C41" s="55"/>
      <c r="D41" s="55"/>
      <c r="E41" s="55"/>
      <c r="F41" s="55"/>
      <c r="G41" s="56"/>
      <c r="I41" s="34" t="s">
        <v>50</v>
      </c>
      <c r="J41" s="41">
        <f>E14</f>
        <v>1.053202479338843</v>
      </c>
      <c r="K41" s="35">
        <f>E14</f>
        <v>1.053202479338843</v>
      </c>
    </row>
    <row r="42" spans="2:15" x14ac:dyDescent="0.25">
      <c r="B42" s="57"/>
      <c r="C42" s="58"/>
      <c r="D42" s="58"/>
      <c r="E42" s="58"/>
      <c r="F42" s="58"/>
      <c r="G42" s="59"/>
      <c r="I42" s="36" t="s">
        <v>48</v>
      </c>
      <c r="J42" s="32">
        <f>'MANDTU T.E'!H1</f>
        <v>519.5</v>
      </c>
      <c r="K42" s="37" cm="1">
        <f t="array" ref="K42:K43">K20:K21</f>
        <v>0.47831786936511678</v>
      </c>
    </row>
    <row r="43" spans="2:15" ht="15.75" thickBot="1" x14ac:dyDescent="0.3">
      <c r="B43" s="57"/>
      <c r="C43" s="58"/>
      <c r="D43" s="58"/>
      <c r="E43" s="58"/>
      <c r="F43" s="58"/>
      <c r="G43" s="59"/>
      <c r="I43" s="38" t="s">
        <v>49</v>
      </c>
      <c r="J43" s="39">
        <f>'MANDTU UT'!H1</f>
        <v>500</v>
      </c>
      <c r="K43" s="40">
        <v>0.68574463063488322</v>
      </c>
    </row>
    <row r="44" spans="2:15" x14ac:dyDescent="0.25">
      <c r="B44" s="57"/>
      <c r="C44" s="58"/>
      <c r="D44" s="58"/>
      <c r="E44" s="58"/>
      <c r="F44" s="58"/>
      <c r="G44" s="59"/>
      <c r="N44">
        <v>100</v>
      </c>
      <c r="O44" s="42">
        <f>SUM(J47+J48)</f>
        <v>1.4257722001106177</v>
      </c>
    </row>
    <row r="45" spans="2:15" ht="15.75" thickBot="1" x14ac:dyDescent="0.3">
      <c r="B45" s="57"/>
      <c r="C45" s="58"/>
      <c r="D45" s="58"/>
      <c r="E45" s="58"/>
      <c r="F45" s="58"/>
      <c r="G45" s="59"/>
      <c r="N45" t="s">
        <v>31</v>
      </c>
      <c r="O45" s="43">
        <f>J47*N44</f>
        <v>67.18347164620738</v>
      </c>
    </row>
    <row r="46" spans="2:15" ht="15.75" thickBot="1" x14ac:dyDescent="0.3">
      <c r="B46" s="57"/>
      <c r="C46" s="58"/>
      <c r="D46" s="58"/>
      <c r="E46" s="58"/>
      <c r="F46" s="58"/>
      <c r="G46" s="59"/>
      <c r="I46" s="66" t="s">
        <v>50</v>
      </c>
      <c r="J46" s="67"/>
      <c r="K46" s="68"/>
      <c r="O46" s="43">
        <f>J48*N44</f>
        <v>75.393748364854389</v>
      </c>
    </row>
    <row r="47" spans="2:15" x14ac:dyDescent="0.25">
      <c r="B47" s="57"/>
      <c r="C47" s="58"/>
      <c r="D47" s="58"/>
      <c r="E47" s="58"/>
      <c r="F47" s="58"/>
      <c r="G47" s="59"/>
      <c r="I47" s="36" t="s">
        <v>48</v>
      </c>
      <c r="J47" s="42">
        <f>SUM(K19+K31+K42)/3</f>
        <v>0.67183471646207382</v>
      </c>
      <c r="K47" s="1">
        <f>K51</f>
        <v>0.47120761395821148</v>
      </c>
    </row>
    <row r="48" spans="2:15" ht="15.75" thickBot="1" x14ac:dyDescent="0.3">
      <c r="B48" s="57"/>
      <c r="C48" s="58"/>
      <c r="D48" s="58"/>
      <c r="E48" s="58"/>
      <c r="F48" s="58"/>
      <c r="G48" s="59"/>
      <c r="I48" s="38" t="s">
        <v>49</v>
      </c>
      <c r="J48" s="42">
        <f>SUM(K21+K32+K43)/3</f>
        <v>0.75393748364854385</v>
      </c>
    </row>
    <row r="49" spans="2:14" ht="15.75" thickBot="1" x14ac:dyDescent="0.3">
      <c r="B49" s="57"/>
      <c r="C49" s="58"/>
      <c r="D49" s="58"/>
      <c r="E49" s="58"/>
      <c r="F49" s="58"/>
      <c r="G49" s="59"/>
    </row>
    <row r="50" spans="2:14" ht="15.75" thickBot="1" x14ac:dyDescent="0.3">
      <c r="B50" s="60"/>
      <c r="C50" s="61"/>
      <c r="D50" s="61"/>
      <c r="E50" s="61"/>
      <c r="F50" s="61"/>
      <c r="G50" s="62"/>
      <c r="I50" s="66" t="s">
        <v>50</v>
      </c>
      <c r="J50" s="67"/>
      <c r="K50" s="68"/>
      <c r="N50" s="42"/>
    </row>
    <row r="51" spans="2:14" x14ac:dyDescent="0.25">
      <c r="I51" s="36" t="s">
        <v>48</v>
      </c>
      <c r="K51" s="44">
        <f>O45/O44/100</f>
        <v>0.47120761395821148</v>
      </c>
    </row>
    <row r="52" spans="2:14" ht="15.75" thickBot="1" x14ac:dyDescent="0.3">
      <c r="I52" s="38" t="s">
        <v>49</v>
      </c>
      <c r="K52" s="44">
        <f>O46/O44/100</f>
        <v>0.52879238604178846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tabSelected="1" topLeftCell="A13" workbookViewId="0">
      <selection activeCell="AC40" sqref="A40:AC609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348.2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111649455</v>
      </c>
      <c r="B3">
        <v>2027107399</v>
      </c>
      <c r="C3">
        <v>50</v>
      </c>
      <c r="D3">
        <v>10</v>
      </c>
      <c r="E3" t="s">
        <v>9</v>
      </c>
      <c r="F3" t="s">
        <v>73</v>
      </c>
      <c r="G3">
        <v>1</v>
      </c>
      <c r="H3">
        <v>3</v>
      </c>
      <c r="I3">
        <v>0</v>
      </c>
      <c r="J3">
        <v>3</v>
      </c>
      <c r="K3" t="s">
        <v>64</v>
      </c>
      <c r="L3" s="18">
        <v>0.44416666666666665</v>
      </c>
      <c r="M3" t="s">
        <v>64</v>
      </c>
      <c r="N3" s="18">
        <v>0.58583333333333332</v>
      </c>
      <c r="O3" t="s">
        <v>54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18</v>
      </c>
    </row>
    <row r="4" spans="1:29" x14ac:dyDescent="0.25">
      <c r="A4">
        <v>133307573</v>
      </c>
      <c r="B4">
        <v>2027633988</v>
      </c>
      <c r="C4">
        <v>500</v>
      </c>
      <c r="D4">
        <v>10</v>
      </c>
      <c r="E4" t="s">
        <v>9</v>
      </c>
      <c r="F4" t="s">
        <v>74</v>
      </c>
      <c r="G4">
        <v>1</v>
      </c>
      <c r="H4">
        <v>8</v>
      </c>
      <c r="I4">
        <v>0</v>
      </c>
      <c r="J4">
        <v>8</v>
      </c>
      <c r="K4" t="s">
        <v>66</v>
      </c>
      <c r="L4" s="18">
        <v>0.3125</v>
      </c>
      <c r="M4" t="s">
        <v>66</v>
      </c>
      <c r="N4" s="18">
        <v>0.62083333333333335</v>
      </c>
      <c r="O4" t="s">
        <v>12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18</v>
      </c>
    </row>
    <row r="5" spans="1:29" x14ac:dyDescent="0.25">
      <c r="A5">
        <v>111720874</v>
      </c>
      <c r="B5">
        <v>2027633988</v>
      </c>
      <c r="C5">
        <v>920</v>
      </c>
      <c r="E5" t="s">
        <v>9</v>
      </c>
      <c r="F5" t="s">
        <v>75</v>
      </c>
      <c r="G5">
        <v>2</v>
      </c>
      <c r="H5">
        <v>8</v>
      </c>
      <c r="I5">
        <v>0</v>
      </c>
      <c r="J5">
        <v>4</v>
      </c>
      <c r="K5" t="s">
        <v>66</v>
      </c>
      <c r="L5" s="18">
        <v>0.3125</v>
      </c>
      <c r="M5" t="s">
        <v>66</v>
      </c>
      <c r="N5" s="18">
        <v>0.44583333333333336</v>
      </c>
      <c r="O5" t="s">
        <v>54</v>
      </c>
      <c r="P5" t="s">
        <v>13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18</v>
      </c>
    </row>
    <row r="6" spans="1:29" x14ac:dyDescent="0.25">
      <c r="A6">
        <v>116304086</v>
      </c>
      <c r="B6">
        <v>2028602603</v>
      </c>
      <c r="C6">
        <v>15</v>
      </c>
      <c r="E6" t="s">
        <v>9</v>
      </c>
      <c r="F6" t="s">
        <v>76</v>
      </c>
      <c r="G6">
        <v>2</v>
      </c>
      <c r="H6">
        <v>4</v>
      </c>
      <c r="I6">
        <v>0</v>
      </c>
      <c r="J6">
        <v>2</v>
      </c>
      <c r="K6" t="s">
        <v>64</v>
      </c>
      <c r="L6" s="18">
        <v>0.64583333333333337</v>
      </c>
      <c r="M6" t="s">
        <v>64</v>
      </c>
      <c r="N6" s="18">
        <v>0.71250000000000002</v>
      </c>
      <c r="O6" t="s">
        <v>18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22</v>
      </c>
      <c r="AC6">
        <v>18</v>
      </c>
    </row>
    <row r="7" spans="1:29" x14ac:dyDescent="0.25">
      <c r="A7">
        <v>116304084</v>
      </c>
      <c r="B7">
        <v>2028602604</v>
      </c>
      <c r="C7">
        <v>15</v>
      </c>
      <c r="E7" t="s">
        <v>9</v>
      </c>
      <c r="F7" t="s">
        <v>77</v>
      </c>
      <c r="G7">
        <v>2</v>
      </c>
      <c r="H7">
        <v>4</v>
      </c>
      <c r="I7">
        <v>0</v>
      </c>
      <c r="J7">
        <v>2</v>
      </c>
      <c r="K7" t="s">
        <v>78</v>
      </c>
      <c r="L7" s="18">
        <v>0.65416666666666667</v>
      </c>
      <c r="M7" t="s">
        <v>78</v>
      </c>
      <c r="N7" s="18">
        <v>0.72083333333333333</v>
      </c>
      <c r="O7" t="s">
        <v>18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22</v>
      </c>
      <c r="AC7">
        <v>18</v>
      </c>
    </row>
    <row r="8" spans="1:29" x14ac:dyDescent="0.25">
      <c r="A8">
        <v>119476094</v>
      </c>
      <c r="B8">
        <v>2029148435</v>
      </c>
      <c r="C8">
        <v>210</v>
      </c>
      <c r="E8" t="s">
        <v>9</v>
      </c>
      <c r="F8" t="s">
        <v>79</v>
      </c>
      <c r="G8">
        <v>2</v>
      </c>
      <c r="H8">
        <v>16</v>
      </c>
      <c r="I8">
        <v>0</v>
      </c>
      <c r="J8">
        <v>8</v>
      </c>
      <c r="K8" t="s">
        <v>66</v>
      </c>
      <c r="L8" s="18">
        <v>0.3125</v>
      </c>
      <c r="M8" t="s">
        <v>66</v>
      </c>
      <c r="N8" s="18">
        <v>0.62083333333333335</v>
      </c>
      <c r="O8" t="s">
        <v>18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22</v>
      </c>
      <c r="AC8">
        <v>18</v>
      </c>
    </row>
    <row r="9" spans="1:29" x14ac:dyDescent="0.25">
      <c r="A9">
        <v>119476095</v>
      </c>
      <c r="B9">
        <v>2029148435</v>
      </c>
      <c r="C9">
        <v>220</v>
      </c>
      <c r="E9" t="s">
        <v>9</v>
      </c>
      <c r="F9" t="s">
        <v>80</v>
      </c>
      <c r="G9">
        <v>2</v>
      </c>
      <c r="H9">
        <v>8</v>
      </c>
      <c r="I9">
        <v>0</v>
      </c>
      <c r="J9">
        <v>4</v>
      </c>
      <c r="K9" t="s">
        <v>66</v>
      </c>
      <c r="L9" s="18">
        <v>0.6875</v>
      </c>
      <c r="M9" t="s">
        <v>64</v>
      </c>
      <c r="N9" s="18">
        <v>0.40416666666666667</v>
      </c>
      <c r="O9" t="s">
        <v>18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18</v>
      </c>
    </row>
    <row r="10" spans="1:29" x14ac:dyDescent="0.25">
      <c r="A10">
        <v>119476078</v>
      </c>
      <c r="B10">
        <v>2029148435</v>
      </c>
      <c r="C10">
        <v>225</v>
      </c>
      <c r="E10" t="s">
        <v>9</v>
      </c>
      <c r="F10" t="s">
        <v>81</v>
      </c>
      <c r="G10">
        <v>2</v>
      </c>
      <c r="H10">
        <v>16</v>
      </c>
      <c r="I10">
        <v>0</v>
      </c>
      <c r="J10">
        <v>8</v>
      </c>
      <c r="K10" t="s">
        <v>64</v>
      </c>
      <c r="L10" s="18">
        <v>0.40416666666666667</v>
      </c>
      <c r="M10" t="s">
        <v>64</v>
      </c>
      <c r="N10" s="18">
        <v>0.71250000000000002</v>
      </c>
      <c r="O10" t="s">
        <v>18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22</v>
      </c>
      <c r="AC10">
        <v>18</v>
      </c>
    </row>
    <row r="11" spans="1:29" x14ac:dyDescent="0.25">
      <c r="A11">
        <v>121976398</v>
      </c>
      <c r="B11">
        <v>2029587439</v>
      </c>
      <c r="C11">
        <v>30</v>
      </c>
      <c r="D11">
        <v>10</v>
      </c>
      <c r="E11" t="s">
        <v>9</v>
      </c>
      <c r="F11" t="s">
        <v>82</v>
      </c>
      <c r="G11">
        <v>1</v>
      </c>
      <c r="H11">
        <v>4</v>
      </c>
      <c r="I11">
        <v>0</v>
      </c>
      <c r="J11">
        <v>4</v>
      </c>
      <c r="K11" t="s">
        <v>64</v>
      </c>
      <c r="L11" s="18">
        <v>0.33333333333333331</v>
      </c>
      <c r="M11" t="s">
        <v>64</v>
      </c>
      <c r="N11" s="18">
        <v>0.5</v>
      </c>
      <c r="O11" t="s">
        <v>12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22</v>
      </c>
      <c r="AC11">
        <v>18</v>
      </c>
    </row>
    <row r="12" spans="1:29" x14ac:dyDescent="0.25">
      <c r="A12">
        <v>122615333</v>
      </c>
      <c r="B12">
        <v>2029637692</v>
      </c>
      <c r="C12">
        <v>520</v>
      </c>
      <c r="D12">
        <v>20</v>
      </c>
      <c r="E12" t="s">
        <v>9</v>
      </c>
      <c r="F12" t="s">
        <v>83</v>
      </c>
      <c r="G12">
        <v>2</v>
      </c>
      <c r="H12">
        <v>8</v>
      </c>
      <c r="I12">
        <v>0</v>
      </c>
      <c r="J12">
        <v>4</v>
      </c>
      <c r="K12" t="s">
        <v>64</v>
      </c>
      <c r="L12" s="18">
        <v>0.47083333333333333</v>
      </c>
      <c r="M12" t="s">
        <v>64</v>
      </c>
      <c r="N12" s="18">
        <v>0.64583333333333337</v>
      </c>
      <c r="O12" t="s">
        <v>12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22</v>
      </c>
      <c r="AC12">
        <v>18</v>
      </c>
    </row>
    <row r="13" spans="1:29" x14ac:dyDescent="0.25">
      <c r="A13">
        <v>122920043</v>
      </c>
      <c r="B13">
        <v>2029662419</v>
      </c>
      <c r="C13">
        <v>60</v>
      </c>
      <c r="E13" t="s">
        <v>9</v>
      </c>
      <c r="F13" t="s">
        <v>84</v>
      </c>
      <c r="G13">
        <v>1</v>
      </c>
      <c r="H13">
        <v>0.2</v>
      </c>
      <c r="I13">
        <v>0</v>
      </c>
      <c r="J13">
        <v>0.2</v>
      </c>
      <c r="K13" t="s">
        <v>66</v>
      </c>
      <c r="L13" s="18">
        <v>0.3125</v>
      </c>
      <c r="M13" t="s">
        <v>66</v>
      </c>
      <c r="N13" s="18">
        <v>0.31916666666666665</v>
      </c>
      <c r="O13" t="s">
        <v>12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18</v>
      </c>
    </row>
    <row r="14" spans="1:29" x14ac:dyDescent="0.25">
      <c r="A14">
        <v>122937744</v>
      </c>
      <c r="B14">
        <v>2029717488</v>
      </c>
      <c r="C14">
        <v>170</v>
      </c>
      <c r="E14" t="s">
        <v>9</v>
      </c>
      <c r="F14" t="s">
        <v>85</v>
      </c>
      <c r="G14">
        <v>2</v>
      </c>
      <c r="H14">
        <v>4</v>
      </c>
      <c r="I14">
        <v>0</v>
      </c>
      <c r="J14">
        <v>2</v>
      </c>
      <c r="K14" t="s">
        <v>64</v>
      </c>
      <c r="L14" s="18">
        <v>0.71250000000000002</v>
      </c>
      <c r="M14" t="s">
        <v>78</v>
      </c>
      <c r="N14" s="18">
        <v>0.36249999999999999</v>
      </c>
      <c r="O14" t="s">
        <v>18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22</v>
      </c>
      <c r="AC14">
        <v>18</v>
      </c>
    </row>
    <row r="15" spans="1:29" x14ac:dyDescent="0.25">
      <c r="A15">
        <v>133879102</v>
      </c>
      <c r="B15">
        <v>2030059227</v>
      </c>
      <c r="C15">
        <v>92</v>
      </c>
      <c r="E15" t="s">
        <v>9</v>
      </c>
      <c r="F15" t="s">
        <v>34</v>
      </c>
      <c r="G15">
        <v>1</v>
      </c>
      <c r="H15">
        <v>44</v>
      </c>
      <c r="I15">
        <v>0</v>
      </c>
      <c r="J15">
        <v>44</v>
      </c>
      <c r="K15" t="s">
        <v>66</v>
      </c>
      <c r="L15" s="18">
        <v>0.3125</v>
      </c>
      <c r="M15" t="s">
        <v>86</v>
      </c>
      <c r="N15" s="18">
        <v>0.6875</v>
      </c>
      <c r="O15" t="s">
        <v>12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22</v>
      </c>
      <c r="AC15">
        <v>18</v>
      </c>
    </row>
    <row r="16" spans="1:29" x14ac:dyDescent="0.25">
      <c r="A16">
        <v>128348079</v>
      </c>
      <c r="B16">
        <v>2030591598</v>
      </c>
      <c r="C16">
        <v>10</v>
      </c>
      <c r="E16" t="s">
        <v>9</v>
      </c>
      <c r="F16" t="s">
        <v>87</v>
      </c>
      <c r="G16">
        <v>4</v>
      </c>
      <c r="H16">
        <v>32</v>
      </c>
      <c r="I16">
        <v>3.3</v>
      </c>
      <c r="J16">
        <v>8</v>
      </c>
      <c r="K16" t="s">
        <v>88</v>
      </c>
      <c r="L16" s="18">
        <v>0.48416666666666669</v>
      </c>
      <c r="M16" t="s">
        <v>86</v>
      </c>
      <c r="N16" s="18">
        <v>0.32018518518518518</v>
      </c>
      <c r="O16" t="s">
        <v>18</v>
      </c>
      <c r="P16" t="s">
        <v>52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22</v>
      </c>
      <c r="AC16">
        <v>18</v>
      </c>
    </row>
    <row r="17" spans="1:29" x14ac:dyDescent="0.25">
      <c r="A17">
        <v>129027426</v>
      </c>
      <c r="B17">
        <v>2030708048</v>
      </c>
      <c r="C17">
        <v>205</v>
      </c>
      <c r="E17" t="s">
        <v>9</v>
      </c>
      <c r="F17" t="s">
        <v>19</v>
      </c>
      <c r="G17">
        <v>2</v>
      </c>
      <c r="H17">
        <v>24</v>
      </c>
      <c r="I17">
        <v>0</v>
      </c>
      <c r="J17">
        <v>12</v>
      </c>
      <c r="K17" t="s">
        <v>66</v>
      </c>
      <c r="L17" s="18">
        <v>0.3125</v>
      </c>
      <c r="M17" t="s">
        <v>64</v>
      </c>
      <c r="N17" s="18">
        <v>0.4375</v>
      </c>
      <c r="O17" t="s">
        <v>18</v>
      </c>
      <c r="P17" t="s">
        <v>17</v>
      </c>
      <c r="Q17" t="s">
        <v>14</v>
      </c>
      <c r="T17" s="18">
        <v>0</v>
      </c>
      <c r="W17" s="19">
        <v>1</v>
      </c>
      <c r="X17" t="s">
        <v>31</v>
      </c>
      <c r="Y17">
        <v>0</v>
      </c>
      <c r="Z17">
        <v>0</v>
      </c>
      <c r="AA17">
        <v>1</v>
      </c>
      <c r="AB17" t="s">
        <v>22</v>
      </c>
      <c r="AC17">
        <v>18</v>
      </c>
    </row>
    <row r="18" spans="1:29" x14ac:dyDescent="0.25">
      <c r="A18">
        <v>131228187</v>
      </c>
      <c r="B18">
        <v>2030880380</v>
      </c>
      <c r="C18">
        <v>360</v>
      </c>
      <c r="E18" t="s">
        <v>9</v>
      </c>
      <c r="F18" t="s">
        <v>89</v>
      </c>
      <c r="G18">
        <v>4</v>
      </c>
      <c r="H18">
        <v>8</v>
      </c>
      <c r="I18">
        <v>0</v>
      </c>
      <c r="J18">
        <v>2</v>
      </c>
      <c r="K18" t="s">
        <v>78</v>
      </c>
      <c r="L18" s="18">
        <v>0.67083333333333328</v>
      </c>
      <c r="M18" t="s">
        <v>88</v>
      </c>
      <c r="N18" s="18">
        <v>0.32083333333333336</v>
      </c>
      <c r="O18" t="s">
        <v>54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22</v>
      </c>
      <c r="AC18">
        <v>18</v>
      </c>
    </row>
    <row r="19" spans="1:29" x14ac:dyDescent="0.25">
      <c r="A19">
        <v>130861516</v>
      </c>
      <c r="B19">
        <v>2030968901</v>
      </c>
      <c r="C19">
        <v>10</v>
      </c>
      <c r="E19" t="s">
        <v>9</v>
      </c>
      <c r="F19" t="s">
        <v>90</v>
      </c>
      <c r="G19">
        <v>2</v>
      </c>
      <c r="H19">
        <v>8</v>
      </c>
      <c r="I19">
        <v>0</v>
      </c>
      <c r="J19">
        <v>4</v>
      </c>
      <c r="K19" t="s">
        <v>88</v>
      </c>
      <c r="L19" s="18">
        <v>0.32083333333333336</v>
      </c>
      <c r="M19" t="s">
        <v>88</v>
      </c>
      <c r="N19" s="18">
        <v>0.45416666666666666</v>
      </c>
      <c r="O19" t="s">
        <v>18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22</v>
      </c>
      <c r="AC19">
        <v>18</v>
      </c>
    </row>
    <row r="20" spans="1:29" x14ac:dyDescent="0.25">
      <c r="A20">
        <v>131804774</v>
      </c>
      <c r="B20">
        <v>2030968901</v>
      </c>
      <c r="C20">
        <v>20</v>
      </c>
      <c r="E20" t="s">
        <v>9</v>
      </c>
      <c r="F20" t="s">
        <v>91</v>
      </c>
      <c r="G20">
        <v>1</v>
      </c>
      <c r="H20">
        <v>2</v>
      </c>
      <c r="I20">
        <v>0</v>
      </c>
      <c r="J20">
        <v>2</v>
      </c>
      <c r="K20" t="s">
        <v>88</v>
      </c>
      <c r="L20" s="18">
        <v>0.54583333333333328</v>
      </c>
      <c r="M20" t="s">
        <v>88</v>
      </c>
      <c r="N20" s="18">
        <v>0.61250000000000004</v>
      </c>
      <c r="O20" t="s">
        <v>18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18</v>
      </c>
    </row>
    <row r="21" spans="1:29" x14ac:dyDescent="0.25">
      <c r="A21">
        <v>130867335</v>
      </c>
      <c r="B21">
        <v>2030969000</v>
      </c>
      <c r="C21">
        <v>10</v>
      </c>
      <c r="E21" t="s">
        <v>9</v>
      </c>
      <c r="F21" t="s">
        <v>92</v>
      </c>
      <c r="G21">
        <v>2</v>
      </c>
      <c r="H21">
        <v>4</v>
      </c>
      <c r="I21">
        <v>0</v>
      </c>
      <c r="J21">
        <v>2</v>
      </c>
      <c r="K21" t="s">
        <v>66</v>
      </c>
      <c r="L21" s="18">
        <v>0.5541666666666667</v>
      </c>
      <c r="M21" t="s">
        <v>66</v>
      </c>
      <c r="N21" s="18">
        <v>0.62083333333333335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18</v>
      </c>
    </row>
    <row r="22" spans="1:29" x14ac:dyDescent="0.25">
      <c r="A22">
        <v>131820817</v>
      </c>
      <c r="B22">
        <v>2030969000</v>
      </c>
      <c r="C22">
        <v>20</v>
      </c>
      <c r="E22" t="s">
        <v>9</v>
      </c>
      <c r="F22" t="s">
        <v>93</v>
      </c>
      <c r="G22">
        <v>1</v>
      </c>
      <c r="H22">
        <v>2</v>
      </c>
      <c r="I22">
        <v>0</v>
      </c>
      <c r="J22">
        <v>2</v>
      </c>
      <c r="K22" t="s">
        <v>66</v>
      </c>
      <c r="L22" s="18">
        <v>0.62083333333333335</v>
      </c>
      <c r="M22" t="s">
        <v>66</v>
      </c>
      <c r="N22" s="18">
        <v>0.6875</v>
      </c>
      <c r="O22" t="s">
        <v>12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22</v>
      </c>
      <c r="AC22">
        <v>18</v>
      </c>
    </row>
    <row r="23" spans="1:29" x14ac:dyDescent="0.25">
      <c r="A23">
        <v>130867342</v>
      </c>
      <c r="B23">
        <v>2030969002</v>
      </c>
      <c r="C23">
        <v>10</v>
      </c>
      <c r="E23" t="s">
        <v>9</v>
      </c>
      <c r="F23" t="s">
        <v>94</v>
      </c>
      <c r="G23">
        <v>2</v>
      </c>
      <c r="H23">
        <v>12</v>
      </c>
      <c r="I23">
        <v>0</v>
      </c>
      <c r="J23">
        <v>6</v>
      </c>
      <c r="K23" t="s">
        <v>88</v>
      </c>
      <c r="L23" s="18">
        <v>0.54583333333333328</v>
      </c>
      <c r="M23" t="s">
        <v>86</v>
      </c>
      <c r="N23" s="18">
        <v>0.32916666666666666</v>
      </c>
      <c r="O23" t="s">
        <v>12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22</v>
      </c>
      <c r="AC23">
        <v>18</v>
      </c>
    </row>
    <row r="24" spans="1:29" x14ac:dyDescent="0.25">
      <c r="A24">
        <v>131807548</v>
      </c>
      <c r="B24">
        <v>2030969002</v>
      </c>
      <c r="C24">
        <v>20</v>
      </c>
      <c r="E24" t="s">
        <v>9</v>
      </c>
      <c r="F24" t="s">
        <v>95</v>
      </c>
      <c r="G24">
        <v>1</v>
      </c>
      <c r="H24">
        <v>2</v>
      </c>
      <c r="I24">
        <v>0</v>
      </c>
      <c r="J24">
        <v>2</v>
      </c>
      <c r="K24" t="s">
        <v>86</v>
      </c>
      <c r="L24" s="18">
        <v>0.32916666666666666</v>
      </c>
      <c r="M24" t="s">
        <v>86</v>
      </c>
      <c r="N24" s="18">
        <v>0.39583333333333331</v>
      </c>
      <c r="O24" t="s">
        <v>12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22</v>
      </c>
      <c r="AC24">
        <v>18</v>
      </c>
    </row>
    <row r="25" spans="1:29" x14ac:dyDescent="0.25">
      <c r="A25">
        <v>132037079</v>
      </c>
      <c r="B25">
        <v>2031082522</v>
      </c>
      <c r="C25">
        <v>50</v>
      </c>
      <c r="E25" t="s">
        <v>9</v>
      </c>
      <c r="F25" t="s">
        <v>96</v>
      </c>
      <c r="G25">
        <v>2</v>
      </c>
      <c r="H25">
        <v>4</v>
      </c>
      <c r="I25">
        <v>0</v>
      </c>
      <c r="J25">
        <v>2</v>
      </c>
      <c r="K25" t="s">
        <v>88</v>
      </c>
      <c r="L25" s="18">
        <v>0.41749999999999998</v>
      </c>
      <c r="M25" t="s">
        <v>88</v>
      </c>
      <c r="N25" s="18">
        <v>0.48416666666666669</v>
      </c>
      <c r="O25" t="s">
        <v>18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22</v>
      </c>
      <c r="AC25">
        <v>18</v>
      </c>
    </row>
    <row r="26" spans="1:29" x14ac:dyDescent="0.25">
      <c r="A26">
        <v>132686551</v>
      </c>
      <c r="B26">
        <v>2031202865</v>
      </c>
      <c r="C26">
        <v>40</v>
      </c>
      <c r="E26" t="s">
        <v>9</v>
      </c>
      <c r="F26" t="s">
        <v>20</v>
      </c>
      <c r="G26">
        <v>2</v>
      </c>
      <c r="H26">
        <v>18</v>
      </c>
      <c r="I26">
        <v>0</v>
      </c>
      <c r="J26">
        <v>9</v>
      </c>
      <c r="K26" t="s">
        <v>64</v>
      </c>
      <c r="L26" s="18">
        <v>0.42083333333333334</v>
      </c>
      <c r="M26" t="s">
        <v>78</v>
      </c>
      <c r="N26" s="18">
        <v>0.34583333333333333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22</v>
      </c>
      <c r="AC26">
        <v>18</v>
      </c>
    </row>
    <row r="27" spans="1:29" x14ac:dyDescent="0.25">
      <c r="A27">
        <v>133419300</v>
      </c>
      <c r="B27">
        <v>2031235456</v>
      </c>
      <c r="C27">
        <v>20</v>
      </c>
      <c r="E27" t="s">
        <v>9</v>
      </c>
      <c r="F27" t="s">
        <v>126</v>
      </c>
      <c r="G27">
        <v>2</v>
      </c>
      <c r="H27">
        <v>4</v>
      </c>
      <c r="I27">
        <v>0</v>
      </c>
      <c r="J27">
        <v>2</v>
      </c>
      <c r="K27" t="s">
        <v>66</v>
      </c>
      <c r="L27" s="18">
        <v>0.60416666666666663</v>
      </c>
      <c r="M27" t="s">
        <v>66</v>
      </c>
      <c r="N27" s="18">
        <v>0.6875</v>
      </c>
      <c r="O27" t="s">
        <v>18</v>
      </c>
      <c r="P27" t="s">
        <v>15</v>
      </c>
      <c r="Q27" t="s">
        <v>14</v>
      </c>
      <c r="T27" s="18">
        <v>0</v>
      </c>
      <c r="W27" s="19">
        <v>0</v>
      </c>
      <c r="Y27">
        <v>0</v>
      </c>
      <c r="Z27">
        <v>0</v>
      </c>
      <c r="AA27">
        <v>2</v>
      </c>
      <c r="AB27" t="s">
        <v>22</v>
      </c>
      <c r="AC27">
        <v>18</v>
      </c>
    </row>
    <row r="28" spans="1:29" x14ac:dyDescent="0.25">
      <c r="A28">
        <v>133436347</v>
      </c>
      <c r="B28">
        <v>2031324298</v>
      </c>
      <c r="C28">
        <v>10</v>
      </c>
      <c r="D28">
        <v>10</v>
      </c>
      <c r="E28" t="s">
        <v>9</v>
      </c>
      <c r="F28" t="s">
        <v>97</v>
      </c>
      <c r="G28">
        <v>2</v>
      </c>
      <c r="H28">
        <v>16</v>
      </c>
      <c r="I28">
        <v>0</v>
      </c>
      <c r="J28">
        <v>8</v>
      </c>
      <c r="K28" t="s">
        <v>66</v>
      </c>
      <c r="L28" s="18">
        <v>4.1539351851851855E-2</v>
      </c>
      <c r="M28" t="s">
        <v>66</v>
      </c>
      <c r="N28" s="18">
        <v>0.37487268518518518</v>
      </c>
      <c r="O28" t="s">
        <v>12</v>
      </c>
      <c r="P28" t="s">
        <v>15</v>
      </c>
      <c r="Q28" t="s">
        <v>14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98</v>
      </c>
      <c r="AC28">
        <v>14</v>
      </c>
    </row>
    <row r="29" spans="1:29" x14ac:dyDescent="0.25">
      <c r="A29">
        <v>133436349</v>
      </c>
      <c r="B29">
        <v>2031324298</v>
      </c>
      <c r="C29">
        <v>20</v>
      </c>
      <c r="D29">
        <v>10</v>
      </c>
      <c r="E29" t="s">
        <v>9</v>
      </c>
      <c r="F29" t="s">
        <v>99</v>
      </c>
      <c r="G29">
        <v>2</v>
      </c>
      <c r="H29">
        <v>16</v>
      </c>
      <c r="I29">
        <v>0</v>
      </c>
      <c r="J29">
        <v>8</v>
      </c>
      <c r="K29" t="s">
        <v>66</v>
      </c>
      <c r="L29" s="18">
        <v>0.37487268518518518</v>
      </c>
      <c r="M29" t="s">
        <v>66</v>
      </c>
      <c r="N29" s="18">
        <v>0.7082060185185185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98</v>
      </c>
      <c r="AC29">
        <v>14</v>
      </c>
    </row>
    <row r="30" spans="1:29" x14ac:dyDescent="0.25">
      <c r="A30">
        <v>133436355</v>
      </c>
      <c r="B30">
        <v>2031324298</v>
      </c>
      <c r="C30">
        <v>21</v>
      </c>
      <c r="D30">
        <v>10</v>
      </c>
      <c r="E30" t="s">
        <v>9</v>
      </c>
      <c r="F30" t="s">
        <v>99</v>
      </c>
      <c r="G30">
        <v>2</v>
      </c>
      <c r="H30">
        <v>16</v>
      </c>
      <c r="I30">
        <v>0</v>
      </c>
      <c r="J30">
        <v>8</v>
      </c>
      <c r="K30" t="s">
        <v>66</v>
      </c>
      <c r="L30" s="18">
        <v>0.7082060185185185</v>
      </c>
      <c r="M30" t="s">
        <v>64</v>
      </c>
      <c r="N30" s="18">
        <v>4.1539351851851855E-2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98</v>
      </c>
      <c r="AC30">
        <v>14</v>
      </c>
    </row>
    <row r="31" spans="1:29" x14ac:dyDescent="0.25">
      <c r="A31">
        <v>133436363</v>
      </c>
      <c r="B31">
        <v>2031324298</v>
      </c>
      <c r="C31">
        <v>40</v>
      </c>
      <c r="E31" t="s">
        <v>9</v>
      </c>
      <c r="F31" t="s">
        <v>100</v>
      </c>
      <c r="G31">
        <v>2</v>
      </c>
      <c r="H31">
        <v>2</v>
      </c>
      <c r="I31">
        <v>0</v>
      </c>
      <c r="J31">
        <v>1</v>
      </c>
      <c r="K31" t="s">
        <v>66</v>
      </c>
      <c r="L31" s="18">
        <v>0.37487268518518518</v>
      </c>
      <c r="M31" t="s">
        <v>66</v>
      </c>
      <c r="N31" s="18">
        <v>0.41653935185185187</v>
      </c>
      <c r="O31" t="s">
        <v>12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98</v>
      </c>
      <c r="AC31">
        <v>14</v>
      </c>
    </row>
    <row r="32" spans="1:29" x14ac:dyDescent="0.25">
      <c r="A32">
        <v>133436368</v>
      </c>
      <c r="B32">
        <v>2031324298</v>
      </c>
      <c r="C32">
        <v>50</v>
      </c>
      <c r="E32" t="s">
        <v>9</v>
      </c>
      <c r="F32" t="s">
        <v>101</v>
      </c>
      <c r="G32">
        <v>2</v>
      </c>
      <c r="H32">
        <v>4</v>
      </c>
      <c r="I32">
        <v>0</v>
      </c>
      <c r="J32">
        <v>2</v>
      </c>
      <c r="K32" t="s">
        <v>66</v>
      </c>
      <c r="L32" s="18">
        <v>0.37487268518518518</v>
      </c>
      <c r="M32" t="s">
        <v>66</v>
      </c>
      <c r="N32" s="18">
        <v>0.4582060185185185</v>
      </c>
      <c r="O32" t="s">
        <v>12</v>
      </c>
      <c r="P32" t="s">
        <v>15</v>
      </c>
      <c r="Q32" t="s">
        <v>14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98</v>
      </c>
      <c r="AC32">
        <v>14</v>
      </c>
    </row>
    <row r="33" spans="1:29" x14ac:dyDescent="0.25">
      <c r="A33">
        <v>133436373</v>
      </c>
      <c r="B33">
        <v>2031324298</v>
      </c>
      <c r="C33">
        <v>70</v>
      </c>
      <c r="E33" t="s">
        <v>9</v>
      </c>
      <c r="F33" t="s">
        <v>102</v>
      </c>
      <c r="G33">
        <v>4</v>
      </c>
      <c r="H33">
        <v>32</v>
      </c>
      <c r="I33">
        <v>0</v>
      </c>
      <c r="J33">
        <v>8</v>
      </c>
      <c r="K33" t="s">
        <v>66</v>
      </c>
      <c r="L33" s="18">
        <v>0.37487268518518518</v>
      </c>
      <c r="M33" t="s">
        <v>66</v>
      </c>
      <c r="N33" s="18">
        <v>0.7082060185185185</v>
      </c>
      <c r="O33" t="s">
        <v>12</v>
      </c>
      <c r="P33" t="s">
        <v>15</v>
      </c>
      <c r="Q33" t="s">
        <v>14</v>
      </c>
      <c r="T33" s="18">
        <v>0</v>
      </c>
      <c r="W33" s="19">
        <v>0</v>
      </c>
      <c r="Y33">
        <v>0</v>
      </c>
      <c r="Z33">
        <v>0</v>
      </c>
      <c r="AA33">
        <v>2</v>
      </c>
      <c r="AB33" t="s">
        <v>98</v>
      </c>
      <c r="AC33">
        <v>14</v>
      </c>
    </row>
    <row r="34" spans="1:29" x14ac:dyDescent="0.25">
      <c r="A34">
        <v>133875986</v>
      </c>
      <c r="B34">
        <v>2031392025</v>
      </c>
      <c r="C34">
        <v>30</v>
      </c>
      <c r="E34" t="s">
        <v>9</v>
      </c>
      <c r="F34" t="s">
        <v>103</v>
      </c>
      <c r="G34">
        <v>2</v>
      </c>
      <c r="H34">
        <v>4</v>
      </c>
      <c r="I34">
        <v>0</v>
      </c>
      <c r="J34">
        <v>2</v>
      </c>
      <c r="K34" t="s">
        <v>66</v>
      </c>
      <c r="L34" s="18">
        <v>0.6875</v>
      </c>
      <c r="M34" t="s">
        <v>64</v>
      </c>
      <c r="N34" s="18">
        <v>0.35416666666666669</v>
      </c>
      <c r="O34" t="s">
        <v>12</v>
      </c>
      <c r="P34" t="s">
        <v>15</v>
      </c>
      <c r="Q34" t="s">
        <v>14</v>
      </c>
      <c r="T34" s="18">
        <v>0</v>
      </c>
      <c r="W34" s="19">
        <v>1</v>
      </c>
      <c r="X34" t="s">
        <v>31</v>
      </c>
      <c r="Y34">
        <v>0</v>
      </c>
      <c r="Z34">
        <v>0</v>
      </c>
      <c r="AB34" t="s">
        <v>22</v>
      </c>
      <c r="AC34">
        <v>18</v>
      </c>
    </row>
    <row r="35" spans="1:29" x14ac:dyDescent="0.25">
      <c r="A35">
        <v>133875997</v>
      </c>
      <c r="B35">
        <v>2031392025</v>
      </c>
      <c r="C35">
        <v>120</v>
      </c>
      <c r="E35" t="s">
        <v>9</v>
      </c>
      <c r="F35" t="s">
        <v>104</v>
      </c>
      <c r="G35">
        <v>1</v>
      </c>
      <c r="H35">
        <v>1</v>
      </c>
      <c r="I35">
        <v>0</v>
      </c>
      <c r="J35">
        <v>1</v>
      </c>
      <c r="K35" t="s">
        <v>78</v>
      </c>
      <c r="L35" s="18">
        <v>0.37916666666666665</v>
      </c>
      <c r="M35" t="s">
        <v>78</v>
      </c>
      <c r="N35" s="18">
        <v>0.42083333333333334</v>
      </c>
      <c r="O35" t="s">
        <v>12</v>
      </c>
      <c r="P35" t="s">
        <v>15</v>
      </c>
      <c r="Q35" t="s">
        <v>14</v>
      </c>
      <c r="T35" s="18">
        <v>0</v>
      </c>
      <c r="W35" s="19">
        <v>1</v>
      </c>
      <c r="Y35">
        <v>0</v>
      </c>
      <c r="Z35">
        <v>0</v>
      </c>
      <c r="AB35" t="s">
        <v>22</v>
      </c>
      <c r="AC35">
        <v>18</v>
      </c>
    </row>
    <row r="36" spans="1:29" x14ac:dyDescent="0.25">
      <c r="A36">
        <v>133876011</v>
      </c>
      <c r="B36">
        <v>2031392166</v>
      </c>
      <c r="C36">
        <v>30</v>
      </c>
      <c r="E36" t="s">
        <v>9</v>
      </c>
      <c r="F36" t="s">
        <v>105</v>
      </c>
      <c r="G36">
        <v>2</v>
      </c>
      <c r="H36">
        <v>4</v>
      </c>
      <c r="I36">
        <v>0</v>
      </c>
      <c r="J36">
        <v>2</v>
      </c>
      <c r="K36" t="s">
        <v>66</v>
      </c>
      <c r="L36" s="18">
        <v>0.60416666666666663</v>
      </c>
      <c r="M36" t="s">
        <v>66</v>
      </c>
      <c r="N36" s="18">
        <v>0.6875</v>
      </c>
      <c r="O36" t="s">
        <v>12</v>
      </c>
      <c r="P36" t="s">
        <v>15</v>
      </c>
      <c r="Q36" t="s">
        <v>14</v>
      </c>
      <c r="T36" s="18">
        <v>0</v>
      </c>
      <c r="W36" s="19">
        <v>1</v>
      </c>
      <c r="X36" t="s">
        <v>31</v>
      </c>
      <c r="Y36">
        <v>0</v>
      </c>
      <c r="Z36">
        <v>0</v>
      </c>
      <c r="AB36" t="s">
        <v>22</v>
      </c>
      <c r="AC36">
        <v>18</v>
      </c>
    </row>
    <row r="37" spans="1:29" x14ac:dyDescent="0.25">
      <c r="A37">
        <v>133876022</v>
      </c>
      <c r="B37">
        <v>2031392166</v>
      </c>
      <c r="C37">
        <v>120</v>
      </c>
      <c r="E37" t="s">
        <v>9</v>
      </c>
      <c r="F37" t="s">
        <v>106</v>
      </c>
      <c r="G37">
        <v>1</v>
      </c>
      <c r="H37">
        <v>1</v>
      </c>
      <c r="I37">
        <v>0</v>
      </c>
      <c r="J37">
        <v>1</v>
      </c>
      <c r="K37" t="s">
        <v>64</v>
      </c>
      <c r="L37" s="18">
        <v>0.62916666666666665</v>
      </c>
      <c r="M37" t="s">
        <v>64</v>
      </c>
      <c r="N37" s="18">
        <v>0.67083333333333328</v>
      </c>
      <c r="O37" t="s">
        <v>12</v>
      </c>
      <c r="P37" t="s">
        <v>15</v>
      </c>
      <c r="Q37" t="s">
        <v>14</v>
      </c>
      <c r="T37" s="18">
        <v>0</v>
      </c>
      <c r="W37" s="19">
        <v>1</v>
      </c>
      <c r="Y37">
        <v>0</v>
      </c>
      <c r="Z37">
        <v>0</v>
      </c>
      <c r="AB37" t="s">
        <v>22</v>
      </c>
      <c r="AC37">
        <v>18</v>
      </c>
    </row>
    <row r="38" spans="1:29" x14ac:dyDescent="0.25">
      <c r="A38">
        <v>133876582</v>
      </c>
      <c r="B38">
        <v>2031392169</v>
      </c>
      <c r="C38">
        <v>30</v>
      </c>
      <c r="E38" t="s">
        <v>9</v>
      </c>
      <c r="F38" t="s">
        <v>107</v>
      </c>
      <c r="G38">
        <v>2</v>
      </c>
      <c r="H38">
        <v>4</v>
      </c>
      <c r="I38">
        <v>0</v>
      </c>
      <c r="J38">
        <v>2</v>
      </c>
      <c r="K38" t="s">
        <v>66</v>
      </c>
      <c r="L38" s="18">
        <v>0.60416666666666663</v>
      </c>
      <c r="M38" t="s">
        <v>66</v>
      </c>
      <c r="N38" s="18">
        <v>0.6875</v>
      </c>
      <c r="O38" t="s">
        <v>12</v>
      </c>
      <c r="P38" t="s">
        <v>15</v>
      </c>
      <c r="Q38" t="s">
        <v>14</v>
      </c>
      <c r="T38" s="18">
        <v>0</v>
      </c>
      <c r="W38" s="19">
        <v>1</v>
      </c>
      <c r="X38" t="s">
        <v>31</v>
      </c>
      <c r="Y38">
        <v>0</v>
      </c>
      <c r="Z38">
        <v>0</v>
      </c>
      <c r="AB38" t="s">
        <v>22</v>
      </c>
      <c r="AC38">
        <v>18</v>
      </c>
    </row>
    <row r="39" spans="1:29" x14ac:dyDescent="0.25">
      <c r="A39">
        <v>133876593</v>
      </c>
      <c r="B39">
        <v>2031392169</v>
      </c>
      <c r="C39">
        <v>120</v>
      </c>
      <c r="E39" t="s">
        <v>9</v>
      </c>
      <c r="F39" t="s">
        <v>108</v>
      </c>
      <c r="G39">
        <v>1</v>
      </c>
      <c r="H39">
        <v>1</v>
      </c>
      <c r="I39">
        <v>0</v>
      </c>
      <c r="J39">
        <v>1</v>
      </c>
      <c r="K39" t="s">
        <v>64</v>
      </c>
      <c r="L39" s="18">
        <v>0.62916666666666665</v>
      </c>
      <c r="M39" t="s">
        <v>64</v>
      </c>
      <c r="N39" s="18">
        <v>0.67083333333333328</v>
      </c>
      <c r="O39" t="s">
        <v>12</v>
      </c>
      <c r="P39" t="s">
        <v>15</v>
      </c>
      <c r="Q39" t="s">
        <v>14</v>
      </c>
      <c r="T39" s="18">
        <v>0</v>
      </c>
      <c r="W39" s="19">
        <v>1</v>
      </c>
      <c r="Y39">
        <v>0</v>
      </c>
      <c r="Z39">
        <v>0</v>
      </c>
      <c r="AB39" t="s">
        <v>22</v>
      </c>
      <c r="AC39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topLeftCell="A29" workbookViewId="0">
      <selection activeCell="AC56" sqref="A56:AC716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197.59999999999991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122166246</v>
      </c>
      <c r="B3">
        <v>2026886835</v>
      </c>
      <c r="C3">
        <v>110</v>
      </c>
      <c r="E3" t="s">
        <v>10</v>
      </c>
      <c r="F3" t="s">
        <v>68</v>
      </c>
      <c r="G3">
        <v>2</v>
      </c>
      <c r="H3">
        <v>4</v>
      </c>
      <c r="I3">
        <v>0</v>
      </c>
      <c r="J3">
        <v>2</v>
      </c>
      <c r="K3" t="s">
        <v>66</v>
      </c>
      <c r="L3" s="18">
        <v>0.41249999999999998</v>
      </c>
      <c r="M3" t="s">
        <v>66</v>
      </c>
      <c r="N3" s="18">
        <v>0.47916666666666669</v>
      </c>
      <c r="O3" t="s">
        <v>54</v>
      </c>
      <c r="P3" t="s">
        <v>13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18</v>
      </c>
    </row>
    <row r="4" spans="1:29" x14ac:dyDescent="0.25">
      <c r="A4">
        <v>107818756</v>
      </c>
      <c r="B4">
        <v>2026886835</v>
      </c>
      <c r="C4">
        <v>120</v>
      </c>
      <c r="E4" t="s">
        <v>10</v>
      </c>
      <c r="F4" t="s">
        <v>69</v>
      </c>
      <c r="G4">
        <v>2</v>
      </c>
      <c r="H4">
        <v>12</v>
      </c>
      <c r="I4">
        <v>0</v>
      </c>
      <c r="J4">
        <v>6</v>
      </c>
      <c r="K4" t="s">
        <v>66</v>
      </c>
      <c r="L4" s="18">
        <v>0.41249999999999998</v>
      </c>
      <c r="M4" t="s">
        <v>66</v>
      </c>
      <c r="N4" s="18">
        <v>0.65416666666666667</v>
      </c>
      <c r="O4" t="s">
        <v>54</v>
      </c>
      <c r="P4" t="s">
        <v>70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18</v>
      </c>
    </row>
    <row r="5" spans="1:29" x14ac:dyDescent="0.25">
      <c r="A5">
        <v>111649456</v>
      </c>
      <c r="B5">
        <v>2027107399</v>
      </c>
      <c r="C5">
        <v>60</v>
      </c>
      <c r="E5" t="s">
        <v>10</v>
      </c>
      <c r="F5" t="s">
        <v>127</v>
      </c>
      <c r="G5">
        <v>2</v>
      </c>
      <c r="H5">
        <v>4</v>
      </c>
      <c r="I5">
        <v>0</v>
      </c>
      <c r="J5">
        <v>2</v>
      </c>
      <c r="K5" t="s">
        <v>78</v>
      </c>
      <c r="L5" s="18">
        <v>0.47583333333333333</v>
      </c>
      <c r="M5" t="s">
        <v>78</v>
      </c>
      <c r="N5" s="18">
        <v>0.58416666666666661</v>
      </c>
      <c r="O5" t="s">
        <v>12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18</v>
      </c>
    </row>
    <row r="6" spans="1:29" x14ac:dyDescent="0.25">
      <c r="A6">
        <v>111720872</v>
      </c>
      <c r="B6">
        <v>2027633988</v>
      </c>
      <c r="C6">
        <v>485</v>
      </c>
      <c r="E6" t="s">
        <v>10</v>
      </c>
      <c r="F6" t="s">
        <v>71</v>
      </c>
      <c r="G6">
        <v>2</v>
      </c>
      <c r="H6">
        <v>16</v>
      </c>
      <c r="I6">
        <v>0</v>
      </c>
      <c r="J6">
        <v>8</v>
      </c>
      <c r="K6" t="s">
        <v>64</v>
      </c>
      <c r="L6" s="18">
        <v>0.64583333333333337</v>
      </c>
      <c r="M6" t="s">
        <v>78</v>
      </c>
      <c r="N6" s="18">
        <v>0.49583333333333335</v>
      </c>
      <c r="O6" t="s">
        <v>54</v>
      </c>
      <c r="P6" t="s">
        <v>13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22</v>
      </c>
      <c r="AC6">
        <v>18</v>
      </c>
    </row>
    <row r="7" spans="1:29" x14ac:dyDescent="0.25">
      <c r="A7">
        <v>111766828</v>
      </c>
      <c r="B7">
        <v>2027633988</v>
      </c>
      <c r="C7">
        <v>930</v>
      </c>
      <c r="E7" t="s">
        <v>10</v>
      </c>
      <c r="F7" t="s">
        <v>128</v>
      </c>
      <c r="G7">
        <v>1</v>
      </c>
      <c r="H7">
        <v>0.2</v>
      </c>
      <c r="I7">
        <v>0</v>
      </c>
      <c r="J7">
        <v>0.2</v>
      </c>
      <c r="K7" t="s">
        <v>64</v>
      </c>
      <c r="L7" s="18">
        <v>0.37083333333333335</v>
      </c>
      <c r="M7" t="s">
        <v>64</v>
      </c>
      <c r="N7" s="18">
        <v>0.3775</v>
      </c>
      <c r="O7" t="s">
        <v>54</v>
      </c>
      <c r="P7" t="s">
        <v>13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22</v>
      </c>
      <c r="AC7">
        <v>18</v>
      </c>
    </row>
    <row r="8" spans="1:29" x14ac:dyDescent="0.25">
      <c r="A8">
        <v>116304087</v>
      </c>
      <c r="B8">
        <v>2028602603</v>
      </c>
      <c r="C8">
        <v>20</v>
      </c>
      <c r="E8" t="s">
        <v>10</v>
      </c>
      <c r="F8" t="s">
        <v>129</v>
      </c>
      <c r="G8">
        <v>2</v>
      </c>
      <c r="H8">
        <v>8</v>
      </c>
      <c r="I8">
        <v>0</v>
      </c>
      <c r="J8">
        <v>4</v>
      </c>
      <c r="K8" t="s">
        <v>64</v>
      </c>
      <c r="L8" s="18">
        <v>0.71250000000000002</v>
      </c>
      <c r="M8" t="s">
        <v>78</v>
      </c>
      <c r="N8" s="18">
        <v>0.42916666666666664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22</v>
      </c>
      <c r="AC8">
        <v>18</v>
      </c>
    </row>
    <row r="9" spans="1:29" x14ac:dyDescent="0.25">
      <c r="A9">
        <v>116304085</v>
      </c>
      <c r="B9">
        <v>2028602604</v>
      </c>
      <c r="C9">
        <v>20</v>
      </c>
      <c r="E9" t="s">
        <v>10</v>
      </c>
      <c r="F9" t="s">
        <v>130</v>
      </c>
      <c r="G9">
        <v>2</v>
      </c>
      <c r="H9">
        <v>2</v>
      </c>
      <c r="I9">
        <v>0</v>
      </c>
      <c r="J9">
        <v>1</v>
      </c>
      <c r="K9" t="s">
        <v>78</v>
      </c>
      <c r="L9" s="18">
        <v>0.72083333333333333</v>
      </c>
      <c r="M9" t="s">
        <v>88</v>
      </c>
      <c r="N9" s="18">
        <v>0.33750000000000002</v>
      </c>
      <c r="O9" t="s">
        <v>12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18</v>
      </c>
    </row>
    <row r="10" spans="1:29" x14ac:dyDescent="0.25">
      <c r="A10">
        <v>132993737</v>
      </c>
      <c r="B10">
        <v>2028602604</v>
      </c>
      <c r="C10">
        <v>25</v>
      </c>
      <c r="E10" t="s">
        <v>10</v>
      </c>
      <c r="F10" t="s">
        <v>131</v>
      </c>
      <c r="G10">
        <v>2</v>
      </c>
      <c r="H10">
        <v>6</v>
      </c>
      <c r="I10">
        <v>0</v>
      </c>
      <c r="J10">
        <v>3</v>
      </c>
      <c r="K10" t="s">
        <v>88</v>
      </c>
      <c r="L10" s="18">
        <v>0.33750000000000002</v>
      </c>
      <c r="M10" t="s">
        <v>88</v>
      </c>
      <c r="N10" s="18">
        <v>0.4375</v>
      </c>
      <c r="O10" t="s">
        <v>12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22</v>
      </c>
      <c r="AC10">
        <v>18</v>
      </c>
    </row>
    <row r="11" spans="1:29" x14ac:dyDescent="0.25">
      <c r="A11">
        <v>132993740</v>
      </c>
      <c r="B11">
        <v>2028602604</v>
      </c>
      <c r="C11">
        <v>30</v>
      </c>
      <c r="E11" t="s">
        <v>10</v>
      </c>
      <c r="F11" t="s">
        <v>132</v>
      </c>
      <c r="G11">
        <v>2</v>
      </c>
      <c r="H11">
        <v>2</v>
      </c>
      <c r="I11">
        <v>0</v>
      </c>
      <c r="J11">
        <v>1</v>
      </c>
      <c r="K11" t="s">
        <v>88</v>
      </c>
      <c r="L11" s="18">
        <v>0.47083333333333333</v>
      </c>
      <c r="M11" t="s">
        <v>88</v>
      </c>
      <c r="N11" s="18">
        <v>0.54583333333333328</v>
      </c>
      <c r="O11" t="s">
        <v>12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22</v>
      </c>
      <c r="AC11">
        <v>18</v>
      </c>
    </row>
    <row r="12" spans="1:29" x14ac:dyDescent="0.25">
      <c r="A12">
        <v>121247675</v>
      </c>
      <c r="B12">
        <v>2029462344</v>
      </c>
      <c r="C12">
        <v>250</v>
      </c>
      <c r="E12" t="s">
        <v>10</v>
      </c>
      <c r="F12" t="s">
        <v>133</v>
      </c>
      <c r="G12">
        <v>2</v>
      </c>
      <c r="H12">
        <v>8</v>
      </c>
      <c r="I12">
        <v>0</v>
      </c>
      <c r="J12">
        <v>4</v>
      </c>
      <c r="K12" t="s">
        <v>66</v>
      </c>
      <c r="L12" s="18">
        <v>0.3125</v>
      </c>
      <c r="M12" t="s">
        <v>66</v>
      </c>
      <c r="N12" s="18">
        <v>0.47916666666666669</v>
      </c>
      <c r="O12" t="s">
        <v>54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22</v>
      </c>
      <c r="AC12">
        <v>18</v>
      </c>
    </row>
    <row r="13" spans="1:29" x14ac:dyDescent="0.25">
      <c r="A13">
        <v>122615332</v>
      </c>
      <c r="B13">
        <v>2029637692</v>
      </c>
      <c r="C13">
        <v>520</v>
      </c>
      <c r="D13">
        <v>10</v>
      </c>
      <c r="E13" t="s">
        <v>10</v>
      </c>
      <c r="F13" t="s">
        <v>83</v>
      </c>
      <c r="G13">
        <v>2</v>
      </c>
      <c r="H13">
        <v>8</v>
      </c>
      <c r="I13">
        <v>0</v>
      </c>
      <c r="J13">
        <v>4</v>
      </c>
      <c r="K13" t="s">
        <v>64</v>
      </c>
      <c r="L13" s="18">
        <v>0.47083333333333333</v>
      </c>
      <c r="M13" t="s">
        <v>64</v>
      </c>
      <c r="N13" s="18">
        <v>0.64583333333333337</v>
      </c>
      <c r="O13" t="s">
        <v>12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22</v>
      </c>
      <c r="AC13">
        <v>18</v>
      </c>
    </row>
    <row r="14" spans="1:29" x14ac:dyDescent="0.25">
      <c r="A14">
        <v>125191713</v>
      </c>
      <c r="B14">
        <v>2030059635</v>
      </c>
      <c r="C14">
        <v>300</v>
      </c>
      <c r="E14" t="s">
        <v>10</v>
      </c>
      <c r="F14" t="s">
        <v>134</v>
      </c>
      <c r="G14">
        <v>1</v>
      </c>
      <c r="H14">
        <v>0.2</v>
      </c>
      <c r="I14">
        <v>0</v>
      </c>
      <c r="J14">
        <v>0.2</v>
      </c>
      <c r="K14" t="s">
        <v>66</v>
      </c>
      <c r="L14" s="18">
        <v>0.3125</v>
      </c>
      <c r="M14" t="s">
        <v>66</v>
      </c>
      <c r="N14" s="18">
        <v>0.32083333333333336</v>
      </c>
      <c r="O14" t="s">
        <v>12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22</v>
      </c>
      <c r="AC14">
        <v>18</v>
      </c>
    </row>
    <row r="15" spans="1:29" x14ac:dyDescent="0.25">
      <c r="A15">
        <v>125191742</v>
      </c>
      <c r="B15">
        <v>2030059635</v>
      </c>
      <c r="C15">
        <v>400</v>
      </c>
      <c r="E15" t="s">
        <v>10</v>
      </c>
      <c r="F15" t="s">
        <v>135</v>
      </c>
      <c r="G15">
        <v>2</v>
      </c>
      <c r="H15">
        <v>6</v>
      </c>
      <c r="I15">
        <v>0</v>
      </c>
      <c r="J15">
        <v>3</v>
      </c>
      <c r="K15" t="s">
        <v>66</v>
      </c>
      <c r="L15" s="18">
        <v>0.32083333333333336</v>
      </c>
      <c r="M15" t="s">
        <v>66</v>
      </c>
      <c r="N15" s="18">
        <v>0.44583333333333336</v>
      </c>
      <c r="O15" t="s">
        <v>12</v>
      </c>
      <c r="P15" t="s">
        <v>17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22</v>
      </c>
      <c r="AC15">
        <v>18</v>
      </c>
    </row>
    <row r="16" spans="1:29" x14ac:dyDescent="0.25">
      <c r="A16">
        <v>127122602</v>
      </c>
      <c r="B16">
        <v>2030285634</v>
      </c>
      <c r="C16">
        <v>40</v>
      </c>
      <c r="E16" t="s">
        <v>10</v>
      </c>
      <c r="F16" t="s">
        <v>72</v>
      </c>
      <c r="G16">
        <v>2</v>
      </c>
      <c r="H16">
        <v>4</v>
      </c>
      <c r="I16">
        <v>0</v>
      </c>
      <c r="J16">
        <v>2</v>
      </c>
      <c r="K16" t="s">
        <v>86</v>
      </c>
      <c r="L16" s="18">
        <v>0.65416666666666667</v>
      </c>
      <c r="M16" t="s">
        <v>125</v>
      </c>
      <c r="N16" s="18">
        <v>0.34583333333333333</v>
      </c>
      <c r="O16" t="s">
        <v>54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22</v>
      </c>
      <c r="AC16">
        <v>18</v>
      </c>
    </row>
    <row r="17" spans="1:29" x14ac:dyDescent="0.25">
      <c r="A17">
        <v>126985622</v>
      </c>
      <c r="B17">
        <v>2030357138</v>
      </c>
      <c r="C17">
        <v>17</v>
      </c>
      <c r="E17" t="s">
        <v>10</v>
      </c>
      <c r="F17" t="s">
        <v>136</v>
      </c>
      <c r="G17">
        <v>2</v>
      </c>
      <c r="H17">
        <v>4</v>
      </c>
      <c r="I17">
        <v>0</v>
      </c>
      <c r="J17">
        <v>2</v>
      </c>
      <c r="K17" t="s">
        <v>66</v>
      </c>
      <c r="L17" s="18">
        <v>0.5625</v>
      </c>
      <c r="M17" t="s">
        <v>66</v>
      </c>
      <c r="N17" s="18">
        <v>0.64583333333333337</v>
      </c>
      <c r="O17" t="s">
        <v>12</v>
      </c>
      <c r="P17" t="s">
        <v>15</v>
      </c>
      <c r="Q17" t="s">
        <v>14</v>
      </c>
      <c r="T17" s="18">
        <v>0</v>
      </c>
      <c r="W17" s="18">
        <v>1</v>
      </c>
      <c r="Y17">
        <v>0</v>
      </c>
      <c r="Z17">
        <v>0</v>
      </c>
      <c r="AA17">
        <v>1</v>
      </c>
      <c r="AB17" t="s">
        <v>22</v>
      </c>
      <c r="AC17">
        <v>18</v>
      </c>
    </row>
    <row r="18" spans="1:29" x14ac:dyDescent="0.25">
      <c r="A18">
        <v>126985623</v>
      </c>
      <c r="B18">
        <v>2030357138</v>
      </c>
      <c r="C18">
        <v>20</v>
      </c>
      <c r="E18" t="s">
        <v>10</v>
      </c>
      <c r="F18" t="s">
        <v>137</v>
      </c>
      <c r="G18">
        <v>2</v>
      </c>
      <c r="H18">
        <v>2</v>
      </c>
      <c r="I18">
        <v>0</v>
      </c>
      <c r="J18">
        <v>1</v>
      </c>
      <c r="K18" t="s">
        <v>66</v>
      </c>
      <c r="L18" s="18">
        <v>0.64583333333333337</v>
      </c>
      <c r="M18" t="s">
        <v>66</v>
      </c>
      <c r="N18" s="18">
        <v>0.6875</v>
      </c>
      <c r="O18" t="s">
        <v>12</v>
      </c>
      <c r="P18" t="s">
        <v>15</v>
      </c>
      <c r="Q18" t="s">
        <v>14</v>
      </c>
      <c r="T18" s="18">
        <v>0</v>
      </c>
      <c r="W18" s="18">
        <v>1</v>
      </c>
      <c r="Y18">
        <v>0</v>
      </c>
      <c r="Z18">
        <v>0</v>
      </c>
      <c r="AA18">
        <v>1</v>
      </c>
      <c r="AB18" t="s">
        <v>22</v>
      </c>
      <c r="AC18">
        <v>18</v>
      </c>
    </row>
    <row r="19" spans="1:29" x14ac:dyDescent="0.25">
      <c r="A19">
        <v>126985626</v>
      </c>
      <c r="B19">
        <v>2030357138</v>
      </c>
      <c r="C19">
        <v>50</v>
      </c>
      <c r="E19" t="s">
        <v>10</v>
      </c>
      <c r="F19" t="s">
        <v>138</v>
      </c>
      <c r="G19">
        <v>2</v>
      </c>
      <c r="H19">
        <v>2</v>
      </c>
      <c r="I19">
        <v>0</v>
      </c>
      <c r="J19">
        <v>1</v>
      </c>
      <c r="K19" t="s">
        <v>64</v>
      </c>
      <c r="L19" s="18">
        <v>0.60833333333333328</v>
      </c>
      <c r="M19" t="s">
        <v>64</v>
      </c>
      <c r="N19" s="18">
        <v>0.65</v>
      </c>
      <c r="O19" t="s">
        <v>12</v>
      </c>
      <c r="P19" t="s">
        <v>15</v>
      </c>
      <c r="Q19" t="s">
        <v>14</v>
      </c>
      <c r="T19" s="18">
        <v>0</v>
      </c>
      <c r="W19" s="18">
        <v>1</v>
      </c>
      <c r="Y19">
        <v>0</v>
      </c>
      <c r="Z19">
        <v>0</v>
      </c>
      <c r="AA19">
        <v>1</v>
      </c>
      <c r="AB19" t="s">
        <v>22</v>
      </c>
      <c r="AC19">
        <v>18</v>
      </c>
    </row>
    <row r="20" spans="1:29" x14ac:dyDescent="0.25">
      <c r="A20">
        <v>127712850</v>
      </c>
      <c r="B20">
        <v>2030476802</v>
      </c>
      <c r="C20">
        <v>20</v>
      </c>
      <c r="E20" t="s">
        <v>10</v>
      </c>
      <c r="F20" t="s">
        <v>139</v>
      </c>
      <c r="G20">
        <v>2</v>
      </c>
      <c r="H20">
        <v>4</v>
      </c>
      <c r="I20">
        <v>0</v>
      </c>
      <c r="J20">
        <v>2</v>
      </c>
      <c r="K20" t="s">
        <v>66</v>
      </c>
      <c r="L20" s="18">
        <v>0.4375</v>
      </c>
      <c r="M20" t="s">
        <v>66</v>
      </c>
      <c r="N20" s="18">
        <v>0.5625</v>
      </c>
      <c r="O20" t="s">
        <v>12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18</v>
      </c>
    </row>
    <row r="21" spans="1:29" x14ac:dyDescent="0.25">
      <c r="A21">
        <v>128386060</v>
      </c>
      <c r="B21">
        <v>2030476802</v>
      </c>
      <c r="C21">
        <v>50</v>
      </c>
      <c r="E21" t="s">
        <v>10</v>
      </c>
      <c r="F21" t="s">
        <v>140</v>
      </c>
      <c r="G21">
        <v>2</v>
      </c>
      <c r="H21">
        <v>4</v>
      </c>
      <c r="I21">
        <v>0</v>
      </c>
      <c r="J21">
        <v>2</v>
      </c>
      <c r="K21" t="s">
        <v>64</v>
      </c>
      <c r="L21" s="18">
        <v>0.4</v>
      </c>
      <c r="M21" t="s">
        <v>64</v>
      </c>
      <c r="N21" s="18">
        <v>0.48333333333333334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18</v>
      </c>
    </row>
    <row r="22" spans="1:29" x14ac:dyDescent="0.25">
      <c r="A22">
        <v>127712821</v>
      </c>
      <c r="B22">
        <v>2030477166</v>
      </c>
      <c r="C22">
        <v>20</v>
      </c>
      <c r="E22" t="s">
        <v>10</v>
      </c>
      <c r="F22" t="s">
        <v>141</v>
      </c>
      <c r="G22">
        <v>2</v>
      </c>
      <c r="H22">
        <v>6</v>
      </c>
      <c r="I22">
        <v>0</v>
      </c>
      <c r="J22">
        <v>3</v>
      </c>
      <c r="K22" t="s">
        <v>66</v>
      </c>
      <c r="L22" s="18">
        <v>0.3125</v>
      </c>
      <c r="M22" t="s">
        <v>66</v>
      </c>
      <c r="N22" s="18">
        <v>0.4375</v>
      </c>
      <c r="O22" t="s">
        <v>12</v>
      </c>
      <c r="P22" t="s">
        <v>15</v>
      </c>
      <c r="Q22" t="s">
        <v>14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22</v>
      </c>
      <c r="AC22">
        <v>18</v>
      </c>
    </row>
    <row r="23" spans="1:29" x14ac:dyDescent="0.25">
      <c r="A23">
        <v>128383178</v>
      </c>
      <c r="B23">
        <v>2030477166</v>
      </c>
      <c r="C23">
        <v>50</v>
      </c>
      <c r="E23" t="s">
        <v>10</v>
      </c>
      <c r="F23" t="s">
        <v>142</v>
      </c>
      <c r="G23">
        <v>2</v>
      </c>
      <c r="H23">
        <v>4</v>
      </c>
      <c r="I23">
        <v>0</v>
      </c>
      <c r="J23">
        <v>2</v>
      </c>
      <c r="K23" t="s">
        <v>64</v>
      </c>
      <c r="L23" s="18">
        <v>0.35416666666666669</v>
      </c>
      <c r="M23" t="s">
        <v>64</v>
      </c>
      <c r="N23" s="18">
        <v>0.4375</v>
      </c>
      <c r="O23" t="s">
        <v>12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22</v>
      </c>
      <c r="AC23">
        <v>18</v>
      </c>
    </row>
    <row r="24" spans="1:29" x14ac:dyDescent="0.25">
      <c r="A24">
        <v>127646024</v>
      </c>
      <c r="B24">
        <v>2030477167</v>
      </c>
      <c r="C24">
        <v>10</v>
      </c>
      <c r="E24" t="s">
        <v>10</v>
      </c>
      <c r="F24" t="s">
        <v>143</v>
      </c>
      <c r="G24">
        <v>2</v>
      </c>
      <c r="H24">
        <v>4</v>
      </c>
      <c r="I24">
        <v>0</v>
      </c>
      <c r="J24">
        <v>2</v>
      </c>
      <c r="K24" t="s">
        <v>66</v>
      </c>
      <c r="L24" s="18">
        <v>0.39583333333333331</v>
      </c>
      <c r="M24" t="s">
        <v>66</v>
      </c>
      <c r="N24" s="18">
        <v>0.47916666666666669</v>
      </c>
      <c r="O24" t="s">
        <v>12</v>
      </c>
      <c r="P24" t="s">
        <v>15</v>
      </c>
      <c r="Q24" t="s">
        <v>14</v>
      </c>
      <c r="T24" s="18">
        <v>0</v>
      </c>
      <c r="W24" s="18">
        <v>1</v>
      </c>
      <c r="Y24">
        <v>0</v>
      </c>
      <c r="Z24">
        <v>0</v>
      </c>
      <c r="AA24">
        <v>1</v>
      </c>
      <c r="AB24" t="s">
        <v>22</v>
      </c>
      <c r="AC24">
        <v>18</v>
      </c>
    </row>
    <row r="25" spans="1:29" x14ac:dyDescent="0.25">
      <c r="A25">
        <v>128386028</v>
      </c>
      <c r="B25">
        <v>2030477167</v>
      </c>
      <c r="C25">
        <v>40</v>
      </c>
      <c r="E25" t="s">
        <v>10</v>
      </c>
      <c r="F25" t="s">
        <v>144</v>
      </c>
      <c r="G25">
        <v>2</v>
      </c>
      <c r="H25">
        <v>4</v>
      </c>
      <c r="I25">
        <v>0</v>
      </c>
      <c r="J25">
        <v>2</v>
      </c>
      <c r="K25" t="s">
        <v>64</v>
      </c>
      <c r="L25" s="18">
        <v>0.35833333333333334</v>
      </c>
      <c r="M25" t="s">
        <v>64</v>
      </c>
      <c r="N25" s="18">
        <v>0.44166666666666665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22</v>
      </c>
      <c r="AC25">
        <v>18</v>
      </c>
    </row>
    <row r="26" spans="1:29" x14ac:dyDescent="0.25">
      <c r="A26">
        <v>129958836</v>
      </c>
      <c r="B26">
        <v>2030854278</v>
      </c>
      <c r="C26">
        <v>10</v>
      </c>
      <c r="E26" t="s">
        <v>10</v>
      </c>
      <c r="F26" t="s">
        <v>145</v>
      </c>
      <c r="G26">
        <v>2</v>
      </c>
      <c r="H26">
        <v>4</v>
      </c>
      <c r="I26">
        <v>0</v>
      </c>
      <c r="J26">
        <v>2</v>
      </c>
      <c r="K26" t="s">
        <v>66</v>
      </c>
      <c r="L26" s="18">
        <v>0.65416666666666667</v>
      </c>
      <c r="M26" t="s">
        <v>66</v>
      </c>
      <c r="N26" s="18">
        <v>0.72083333333333333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22</v>
      </c>
      <c r="AC26">
        <v>18</v>
      </c>
    </row>
    <row r="27" spans="1:29" x14ac:dyDescent="0.25">
      <c r="A27">
        <v>130085888</v>
      </c>
      <c r="B27">
        <v>2030854278</v>
      </c>
      <c r="C27">
        <v>20</v>
      </c>
      <c r="E27" t="s">
        <v>10</v>
      </c>
      <c r="F27" t="s">
        <v>146</v>
      </c>
      <c r="G27">
        <v>2</v>
      </c>
      <c r="H27">
        <v>4</v>
      </c>
      <c r="I27">
        <v>0</v>
      </c>
      <c r="J27">
        <v>2</v>
      </c>
      <c r="K27" t="s">
        <v>64</v>
      </c>
      <c r="L27" s="18">
        <v>0.31583333333333335</v>
      </c>
      <c r="M27" t="s">
        <v>64</v>
      </c>
      <c r="N27" s="18">
        <v>0.38250000000000001</v>
      </c>
      <c r="O27" t="s">
        <v>12</v>
      </c>
      <c r="P27" t="s">
        <v>15</v>
      </c>
      <c r="Q27" t="s">
        <v>14</v>
      </c>
      <c r="T27" s="18">
        <v>0</v>
      </c>
      <c r="W27" s="19">
        <v>0</v>
      </c>
      <c r="Y27">
        <v>0</v>
      </c>
      <c r="Z27">
        <v>0</v>
      </c>
      <c r="AA27">
        <v>2</v>
      </c>
      <c r="AB27" t="s">
        <v>22</v>
      </c>
      <c r="AC27">
        <v>18</v>
      </c>
    </row>
    <row r="28" spans="1:29" x14ac:dyDescent="0.25">
      <c r="A28">
        <v>130085889</v>
      </c>
      <c r="B28">
        <v>2030854278</v>
      </c>
      <c r="C28">
        <v>30</v>
      </c>
      <c r="E28" t="s">
        <v>10</v>
      </c>
      <c r="F28" t="s">
        <v>147</v>
      </c>
      <c r="G28">
        <v>2</v>
      </c>
      <c r="H28">
        <v>4</v>
      </c>
      <c r="I28">
        <v>0</v>
      </c>
      <c r="J28">
        <v>2</v>
      </c>
      <c r="K28" t="s">
        <v>64</v>
      </c>
      <c r="L28" s="18">
        <v>0.38250000000000001</v>
      </c>
      <c r="M28" t="s">
        <v>64</v>
      </c>
      <c r="N28" s="18">
        <v>0.44916666666666666</v>
      </c>
      <c r="O28" t="s">
        <v>12</v>
      </c>
      <c r="P28" t="s">
        <v>15</v>
      </c>
      <c r="Q28" t="s">
        <v>14</v>
      </c>
      <c r="T28" s="18">
        <v>0</v>
      </c>
      <c r="W28" s="19">
        <v>0</v>
      </c>
      <c r="Y28">
        <v>0</v>
      </c>
      <c r="Z28">
        <v>0</v>
      </c>
      <c r="AA28">
        <v>2</v>
      </c>
      <c r="AB28" t="s">
        <v>22</v>
      </c>
      <c r="AC28">
        <v>18</v>
      </c>
    </row>
    <row r="29" spans="1:29" x14ac:dyDescent="0.25">
      <c r="A29">
        <v>130085890</v>
      </c>
      <c r="B29">
        <v>2030854278</v>
      </c>
      <c r="C29">
        <v>40</v>
      </c>
      <c r="E29" t="s">
        <v>10</v>
      </c>
      <c r="F29" t="s">
        <v>148</v>
      </c>
      <c r="G29">
        <v>1</v>
      </c>
      <c r="H29">
        <v>0.2</v>
      </c>
      <c r="I29">
        <v>0</v>
      </c>
      <c r="J29">
        <v>0.2</v>
      </c>
      <c r="K29" t="s">
        <v>64</v>
      </c>
      <c r="L29" s="18">
        <v>0.45250000000000001</v>
      </c>
      <c r="M29" t="s">
        <v>64</v>
      </c>
      <c r="N29" s="18">
        <v>0.45916666666666667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22</v>
      </c>
      <c r="AC29">
        <v>18</v>
      </c>
    </row>
    <row r="30" spans="1:29" x14ac:dyDescent="0.25">
      <c r="A30">
        <v>133815498</v>
      </c>
      <c r="B30">
        <v>2030880382</v>
      </c>
      <c r="C30">
        <v>110</v>
      </c>
      <c r="E30" t="s">
        <v>10</v>
      </c>
      <c r="F30" t="s">
        <v>149</v>
      </c>
      <c r="G30">
        <v>1</v>
      </c>
      <c r="H30">
        <v>0.2</v>
      </c>
      <c r="I30">
        <v>0</v>
      </c>
      <c r="J30">
        <v>0.2</v>
      </c>
      <c r="K30" t="s">
        <v>64</v>
      </c>
      <c r="L30" s="18">
        <v>0.45583333333333331</v>
      </c>
      <c r="M30" t="s">
        <v>64</v>
      </c>
      <c r="N30" s="18">
        <v>0.46250000000000002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A30">
        <v>1</v>
      </c>
      <c r="AB30" t="s">
        <v>22</v>
      </c>
      <c r="AC30">
        <v>18</v>
      </c>
    </row>
    <row r="31" spans="1:29" x14ac:dyDescent="0.25">
      <c r="A31">
        <v>130849919</v>
      </c>
      <c r="B31">
        <v>2030965814</v>
      </c>
      <c r="C31">
        <v>10</v>
      </c>
      <c r="E31" t="s">
        <v>10</v>
      </c>
      <c r="F31" t="s">
        <v>150</v>
      </c>
      <c r="G31">
        <v>2</v>
      </c>
      <c r="H31">
        <v>4</v>
      </c>
      <c r="I31">
        <v>0</v>
      </c>
      <c r="J31">
        <v>2</v>
      </c>
      <c r="K31" t="s">
        <v>88</v>
      </c>
      <c r="L31" s="18">
        <v>0.36416666666666669</v>
      </c>
      <c r="M31" t="s">
        <v>88</v>
      </c>
      <c r="N31" s="18">
        <v>0.43083333333333335</v>
      </c>
      <c r="O31" t="s">
        <v>12</v>
      </c>
      <c r="P31" t="s">
        <v>15</v>
      </c>
      <c r="Q31" t="s">
        <v>14</v>
      </c>
      <c r="T31" s="18">
        <v>0</v>
      </c>
      <c r="W31" s="19">
        <v>0</v>
      </c>
      <c r="Y31">
        <v>0</v>
      </c>
      <c r="Z31">
        <v>0</v>
      </c>
      <c r="AA31">
        <v>1</v>
      </c>
      <c r="AB31" t="s">
        <v>22</v>
      </c>
      <c r="AC31">
        <v>18</v>
      </c>
    </row>
    <row r="32" spans="1:29" x14ac:dyDescent="0.25">
      <c r="A32">
        <v>131434843</v>
      </c>
      <c r="B32">
        <v>2030965814</v>
      </c>
      <c r="C32">
        <v>30</v>
      </c>
      <c r="E32" t="s">
        <v>10</v>
      </c>
      <c r="F32" t="s">
        <v>151</v>
      </c>
      <c r="G32">
        <v>1</v>
      </c>
      <c r="H32">
        <v>0.2</v>
      </c>
      <c r="I32">
        <v>0</v>
      </c>
      <c r="J32">
        <v>0.2</v>
      </c>
      <c r="K32" t="s">
        <v>88</v>
      </c>
      <c r="L32" s="18">
        <v>0.43416666666666665</v>
      </c>
      <c r="M32" t="s">
        <v>88</v>
      </c>
      <c r="N32" s="18">
        <v>0.44083333333333335</v>
      </c>
      <c r="O32" t="s">
        <v>12</v>
      </c>
      <c r="P32" t="s">
        <v>15</v>
      </c>
      <c r="Q32" t="s">
        <v>14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22</v>
      </c>
      <c r="AC32">
        <v>18</v>
      </c>
    </row>
    <row r="33" spans="1:29" x14ac:dyDescent="0.25">
      <c r="A33">
        <v>131932791</v>
      </c>
      <c r="B33">
        <v>2031082522</v>
      </c>
      <c r="C33">
        <v>10</v>
      </c>
      <c r="E33" t="s">
        <v>10</v>
      </c>
      <c r="F33" t="s">
        <v>152</v>
      </c>
      <c r="G33">
        <v>2</v>
      </c>
      <c r="H33">
        <v>3</v>
      </c>
      <c r="I33">
        <v>0</v>
      </c>
      <c r="J33">
        <v>1.5</v>
      </c>
      <c r="K33" t="s">
        <v>78</v>
      </c>
      <c r="L33" s="18">
        <v>0.65083333333333337</v>
      </c>
      <c r="M33" t="s">
        <v>78</v>
      </c>
      <c r="N33" s="18">
        <v>0.70083333333333331</v>
      </c>
      <c r="O33" t="s">
        <v>12</v>
      </c>
      <c r="P33" t="s">
        <v>15</v>
      </c>
      <c r="Q33" t="s">
        <v>14</v>
      </c>
      <c r="T33" s="18">
        <v>0</v>
      </c>
      <c r="W33" s="19">
        <v>0</v>
      </c>
      <c r="Y33">
        <v>0</v>
      </c>
      <c r="Z33">
        <v>0</v>
      </c>
      <c r="AA33">
        <v>2</v>
      </c>
      <c r="AB33" t="s">
        <v>22</v>
      </c>
      <c r="AC33">
        <v>18</v>
      </c>
    </row>
    <row r="34" spans="1:29" x14ac:dyDescent="0.25">
      <c r="A34">
        <v>132037076</v>
      </c>
      <c r="B34">
        <v>2031082522</v>
      </c>
      <c r="C34">
        <v>20</v>
      </c>
      <c r="E34" t="s">
        <v>10</v>
      </c>
      <c r="F34" t="s">
        <v>153</v>
      </c>
      <c r="G34">
        <v>2</v>
      </c>
      <c r="H34">
        <v>2</v>
      </c>
      <c r="I34">
        <v>0</v>
      </c>
      <c r="J34">
        <v>1</v>
      </c>
      <c r="K34" t="s">
        <v>78</v>
      </c>
      <c r="L34" s="18">
        <v>0.70083333333333331</v>
      </c>
      <c r="M34" t="s">
        <v>88</v>
      </c>
      <c r="N34" s="18">
        <v>0.3175</v>
      </c>
      <c r="O34" t="s">
        <v>154</v>
      </c>
      <c r="P34" t="s">
        <v>15</v>
      </c>
      <c r="Q34" t="s">
        <v>14</v>
      </c>
      <c r="T34" s="18">
        <v>0</v>
      </c>
      <c r="W34" s="19">
        <v>0</v>
      </c>
      <c r="Y34">
        <v>0</v>
      </c>
      <c r="Z34">
        <v>0</v>
      </c>
      <c r="AA34">
        <v>2</v>
      </c>
      <c r="AB34" t="s">
        <v>22</v>
      </c>
      <c r="AC34">
        <v>18</v>
      </c>
    </row>
    <row r="35" spans="1:29" x14ac:dyDescent="0.25">
      <c r="A35">
        <v>132037077</v>
      </c>
      <c r="B35">
        <v>2031082522</v>
      </c>
      <c r="C35">
        <v>30</v>
      </c>
      <c r="E35" t="s">
        <v>10</v>
      </c>
      <c r="F35" t="s">
        <v>155</v>
      </c>
      <c r="G35">
        <v>2</v>
      </c>
      <c r="H35">
        <v>2</v>
      </c>
      <c r="I35">
        <v>0</v>
      </c>
      <c r="J35">
        <v>1</v>
      </c>
      <c r="K35" t="s">
        <v>88</v>
      </c>
      <c r="L35" s="18">
        <v>0.3175</v>
      </c>
      <c r="M35" t="s">
        <v>88</v>
      </c>
      <c r="N35" s="18">
        <v>0.35083333333333333</v>
      </c>
      <c r="O35" t="s">
        <v>12</v>
      </c>
      <c r="P35" t="s">
        <v>15</v>
      </c>
      <c r="Q35" t="s">
        <v>14</v>
      </c>
      <c r="T35" s="18">
        <v>0</v>
      </c>
      <c r="W35" s="19">
        <v>0</v>
      </c>
      <c r="Y35">
        <v>0</v>
      </c>
      <c r="Z35">
        <v>0</v>
      </c>
      <c r="AA35">
        <v>2</v>
      </c>
      <c r="AB35" t="s">
        <v>22</v>
      </c>
      <c r="AC35">
        <v>18</v>
      </c>
    </row>
    <row r="36" spans="1:29" x14ac:dyDescent="0.25">
      <c r="A36">
        <v>132037078</v>
      </c>
      <c r="B36">
        <v>2031082522</v>
      </c>
      <c r="C36">
        <v>40</v>
      </c>
      <c r="E36" t="s">
        <v>10</v>
      </c>
      <c r="F36" t="s">
        <v>156</v>
      </c>
      <c r="G36">
        <v>2</v>
      </c>
      <c r="H36">
        <v>4</v>
      </c>
      <c r="I36">
        <v>0</v>
      </c>
      <c r="J36">
        <v>2</v>
      </c>
      <c r="K36" t="s">
        <v>88</v>
      </c>
      <c r="L36" s="18">
        <v>0.35083333333333333</v>
      </c>
      <c r="M36" t="s">
        <v>88</v>
      </c>
      <c r="N36" s="18">
        <v>0.41749999999999998</v>
      </c>
      <c r="O36" t="s">
        <v>12</v>
      </c>
      <c r="P36" t="s">
        <v>15</v>
      </c>
      <c r="Q36" t="s">
        <v>14</v>
      </c>
      <c r="T36" s="18">
        <v>0</v>
      </c>
      <c r="W36" s="19">
        <v>0</v>
      </c>
      <c r="Y36">
        <v>0</v>
      </c>
      <c r="Z36">
        <v>0</v>
      </c>
      <c r="AA36">
        <v>2</v>
      </c>
      <c r="AB36" t="s">
        <v>22</v>
      </c>
      <c r="AC36">
        <v>18</v>
      </c>
    </row>
    <row r="37" spans="1:29" x14ac:dyDescent="0.25">
      <c r="A37">
        <v>132037080</v>
      </c>
      <c r="B37">
        <v>2031082522</v>
      </c>
      <c r="C37">
        <v>60</v>
      </c>
      <c r="E37" t="s">
        <v>10</v>
      </c>
      <c r="F37" t="s">
        <v>157</v>
      </c>
      <c r="G37">
        <v>1</v>
      </c>
      <c r="H37">
        <v>0.2</v>
      </c>
      <c r="I37">
        <v>0</v>
      </c>
      <c r="J37">
        <v>0.2</v>
      </c>
      <c r="K37" t="s">
        <v>88</v>
      </c>
      <c r="L37" s="18">
        <v>0.54583333333333328</v>
      </c>
      <c r="M37" t="s">
        <v>88</v>
      </c>
      <c r="N37" s="18">
        <v>0.55249999999999999</v>
      </c>
      <c r="O37" t="s">
        <v>12</v>
      </c>
      <c r="P37" t="s">
        <v>15</v>
      </c>
      <c r="Q37" t="s">
        <v>14</v>
      </c>
      <c r="T37" s="18">
        <v>0</v>
      </c>
      <c r="W37" s="19">
        <v>0</v>
      </c>
      <c r="Y37">
        <v>0</v>
      </c>
      <c r="Z37">
        <v>0</v>
      </c>
      <c r="AA37">
        <v>2</v>
      </c>
      <c r="AB37" t="s">
        <v>22</v>
      </c>
      <c r="AC37">
        <v>18</v>
      </c>
    </row>
    <row r="38" spans="1:29" x14ac:dyDescent="0.25">
      <c r="A38">
        <v>132132918</v>
      </c>
      <c r="B38">
        <v>2031083233</v>
      </c>
      <c r="C38">
        <v>30</v>
      </c>
      <c r="D38">
        <v>10</v>
      </c>
      <c r="E38" t="s">
        <v>10</v>
      </c>
      <c r="F38" t="s">
        <v>158</v>
      </c>
      <c r="G38">
        <v>1</v>
      </c>
      <c r="H38">
        <v>2</v>
      </c>
      <c r="I38">
        <v>0</v>
      </c>
      <c r="J38">
        <v>2</v>
      </c>
      <c r="K38" t="s">
        <v>78</v>
      </c>
      <c r="L38" s="18">
        <v>0.5708333333333333</v>
      </c>
      <c r="M38" t="s">
        <v>78</v>
      </c>
      <c r="N38" s="18">
        <v>0.63749999999999996</v>
      </c>
      <c r="O38" t="s">
        <v>159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A38">
        <v>1</v>
      </c>
      <c r="AB38" t="s">
        <v>22</v>
      </c>
      <c r="AC38">
        <v>18</v>
      </c>
    </row>
    <row r="39" spans="1:29" x14ac:dyDescent="0.25">
      <c r="A39">
        <v>132132943</v>
      </c>
      <c r="B39">
        <v>2031111337</v>
      </c>
      <c r="C39">
        <v>155</v>
      </c>
      <c r="E39" t="s">
        <v>10</v>
      </c>
      <c r="F39" t="s">
        <v>160</v>
      </c>
      <c r="G39">
        <v>2</v>
      </c>
      <c r="H39">
        <v>8</v>
      </c>
      <c r="I39">
        <v>0</v>
      </c>
      <c r="J39">
        <v>4</v>
      </c>
      <c r="K39" t="s">
        <v>86</v>
      </c>
      <c r="L39" s="18">
        <v>0.47916666666666669</v>
      </c>
      <c r="M39" t="s">
        <v>86</v>
      </c>
      <c r="N39" s="18">
        <v>0.65416666666666667</v>
      </c>
      <c r="O39" t="s">
        <v>16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A39">
        <v>1</v>
      </c>
      <c r="AB39" t="s">
        <v>22</v>
      </c>
      <c r="AC39">
        <v>18</v>
      </c>
    </row>
    <row r="40" spans="1:29" x14ac:dyDescent="0.25">
      <c r="A40">
        <v>132599302</v>
      </c>
      <c r="B40">
        <v>2031172620</v>
      </c>
      <c r="C40">
        <v>45</v>
      </c>
      <c r="E40" t="s">
        <v>10</v>
      </c>
      <c r="F40" t="s">
        <v>161</v>
      </c>
      <c r="G40">
        <v>1</v>
      </c>
      <c r="H40">
        <v>0.2</v>
      </c>
      <c r="I40">
        <v>0</v>
      </c>
      <c r="J40">
        <v>0.2</v>
      </c>
      <c r="K40" t="s">
        <v>64</v>
      </c>
      <c r="L40" s="18">
        <v>0.37083333333333335</v>
      </c>
      <c r="M40" t="s">
        <v>64</v>
      </c>
      <c r="N40" s="18">
        <v>0.3775</v>
      </c>
      <c r="O40" t="s">
        <v>54</v>
      </c>
      <c r="P40" t="s">
        <v>15</v>
      </c>
      <c r="Q40" t="s">
        <v>14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22</v>
      </c>
      <c r="AC40">
        <v>18</v>
      </c>
    </row>
    <row r="41" spans="1:29" x14ac:dyDescent="0.25">
      <c r="A41">
        <v>132599303</v>
      </c>
      <c r="B41">
        <v>2031172620</v>
      </c>
      <c r="C41">
        <v>55</v>
      </c>
      <c r="E41" t="s">
        <v>10</v>
      </c>
      <c r="F41" t="s">
        <v>162</v>
      </c>
      <c r="G41">
        <v>1</v>
      </c>
      <c r="H41">
        <v>0.2</v>
      </c>
      <c r="I41">
        <v>0</v>
      </c>
      <c r="J41">
        <v>0.2</v>
      </c>
      <c r="K41" t="s">
        <v>64</v>
      </c>
      <c r="L41" s="18">
        <v>0.71916666666666662</v>
      </c>
      <c r="M41" t="s">
        <v>64</v>
      </c>
      <c r="N41" s="18">
        <v>0.72583333333333333</v>
      </c>
      <c r="O41" t="s">
        <v>54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22</v>
      </c>
      <c r="AC41">
        <v>18</v>
      </c>
    </row>
    <row r="42" spans="1:29" x14ac:dyDescent="0.25">
      <c r="A42">
        <v>133604769</v>
      </c>
      <c r="B42">
        <v>2031189885</v>
      </c>
      <c r="C42">
        <v>350</v>
      </c>
      <c r="E42" t="s">
        <v>10</v>
      </c>
      <c r="F42" t="s">
        <v>163</v>
      </c>
      <c r="G42">
        <v>2</v>
      </c>
      <c r="H42">
        <v>16</v>
      </c>
      <c r="I42">
        <v>0</v>
      </c>
      <c r="J42">
        <v>8</v>
      </c>
      <c r="K42" t="s">
        <v>66</v>
      </c>
      <c r="L42" s="18">
        <v>0.41249999999999998</v>
      </c>
      <c r="M42" t="s">
        <v>66</v>
      </c>
      <c r="N42" s="18">
        <v>0.72083333333333333</v>
      </c>
      <c r="O42" t="s">
        <v>54</v>
      </c>
      <c r="P42" t="s">
        <v>15</v>
      </c>
      <c r="Q42" t="s">
        <v>14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22</v>
      </c>
      <c r="AC42">
        <v>18</v>
      </c>
    </row>
    <row r="43" spans="1:29" x14ac:dyDescent="0.25">
      <c r="A43">
        <v>133298287</v>
      </c>
      <c r="B43">
        <v>2031301350</v>
      </c>
      <c r="C43">
        <v>140</v>
      </c>
      <c r="E43" t="s">
        <v>10</v>
      </c>
      <c r="F43" t="s">
        <v>164</v>
      </c>
      <c r="G43">
        <v>1</v>
      </c>
      <c r="H43">
        <v>0.2</v>
      </c>
      <c r="I43">
        <v>0</v>
      </c>
      <c r="J43">
        <v>0.2</v>
      </c>
      <c r="K43" t="s">
        <v>78</v>
      </c>
      <c r="L43" s="18">
        <v>0.46250000000000002</v>
      </c>
      <c r="M43" t="s">
        <v>78</v>
      </c>
      <c r="N43" s="18">
        <v>0.46916666666666668</v>
      </c>
      <c r="O43" t="s">
        <v>54</v>
      </c>
      <c r="P43" t="s">
        <v>15</v>
      </c>
      <c r="Q43" t="s">
        <v>14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22</v>
      </c>
      <c r="AC43">
        <v>18</v>
      </c>
    </row>
    <row r="44" spans="1:29" x14ac:dyDescent="0.25">
      <c r="A44">
        <v>133306579</v>
      </c>
      <c r="B44">
        <v>2031301351</v>
      </c>
      <c r="C44">
        <v>140</v>
      </c>
      <c r="E44" t="s">
        <v>10</v>
      </c>
      <c r="F44" t="s">
        <v>165</v>
      </c>
      <c r="G44">
        <v>1</v>
      </c>
      <c r="H44">
        <v>0.2</v>
      </c>
      <c r="I44">
        <v>0</v>
      </c>
      <c r="J44">
        <v>0.2</v>
      </c>
      <c r="K44" t="s">
        <v>78</v>
      </c>
      <c r="L44" s="18">
        <v>0.5708333333333333</v>
      </c>
      <c r="M44" t="s">
        <v>78</v>
      </c>
      <c r="N44" s="18">
        <v>0.57750000000000001</v>
      </c>
      <c r="O44" t="s">
        <v>54</v>
      </c>
      <c r="P44" t="s">
        <v>15</v>
      </c>
      <c r="Q44" t="s">
        <v>14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22</v>
      </c>
      <c r="AC44">
        <v>18</v>
      </c>
    </row>
    <row r="45" spans="1:29" x14ac:dyDescent="0.25">
      <c r="A45">
        <v>133561849</v>
      </c>
      <c r="B45">
        <v>2031349580</v>
      </c>
      <c r="C45">
        <v>20</v>
      </c>
      <c r="E45" t="s">
        <v>10</v>
      </c>
      <c r="F45" t="s">
        <v>166</v>
      </c>
      <c r="G45">
        <v>2</v>
      </c>
      <c r="H45">
        <v>4</v>
      </c>
      <c r="I45">
        <v>0</v>
      </c>
      <c r="J45">
        <v>2</v>
      </c>
      <c r="K45" t="s">
        <v>66</v>
      </c>
      <c r="L45" s="18">
        <v>0.34583333333333333</v>
      </c>
      <c r="M45" t="s">
        <v>66</v>
      </c>
      <c r="N45" s="18">
        <v>0.41249999999999998</v>
      </c>
      <c r="O45" t="s">
        <v>12</v>
      </c>
      <c r="P45" t="s">
        <v>15</v>
      </c>
      <c r="Q45" t="s">
        <v>14</v>
      </c>
      <c r="T45" s="18">
        <v>0</v>
      </c>
      <c r="W45" s="18">
        <v>0</v>
      </c>
      <c r="Y45">
        <v>0</v>
      </c>
      <c r="Z45">
        <v>0</v>
      </c>
      <c r="AB45" t="s">
        <v>22</v>
      </c>
      <c r="AC45">
        <v>14</v>
      </c>
    </row>
    <row r="46" spans="1:29" x14ac:dyDescent="0.25">
      <c r="A46">
        <v>133561858</v>
      </c>
      <c r="B46">
        <v>2031349580</v>
      </c>
      <c r="C46">
        <v>40</v>
      </c>
      <c r="E46" t="s">
        <v>10</v>
      </c>
      <c r="F46" t="s">
        <v>167</v>
      </c>
      <c r="G46">
        <v>2</v>
      </c>
      <c r="H46">
        <v>4</v>
      </c>
      <c r="I46">
        <v>0</v>
      </c>
      <c r="J46">
        <v>2</v>
      </c>
      <c r="K46" t="s">
        <v>66</v>
      </c>
      <c r="L46" s="18">
        <v>0.47916666666666669</v>
      </c>
      <c r="M46" t="s">
        <v>66</v>
      </c>
      <c r="N46" s="18">
        <v>0.58750000000000002</v>
      </c>
      <c r="O46" t="s">
        <v>12</v>
      </c>
      <c r="P46" t="s">
        <v>15</v>
      </c>
      <c r="Q46" t="s">
        <v>14</v>
      </c>
      <c r="T46" s="18">
        <v>0</v>
      </c>
      <c r="W46" s="18">
        <v>0</v>
      </c>
      <c r="Y46">
        <v>0</v>
      </c>
      <c r="Z46">
        <v>0</v>
      </c>
      <c r="AB46" t="s">
        <v>22</v>
      </c>
      <c r="AC46">
        <v>14</v>
      </c>
    </row>
    <row r="47" spans="1:29" x14ac:dyDescent="0.25">
      <c r="A47">
        <v>133875982</v>
      </c>
      <c r="B47">
        <v>2031392025</v>
      </c>
      <c r="C47">
        <v>10</v>
      </c>
      <c r="E47" t="s">
        <v>10</v>
      </c>
      <c r="F47" t="s">
        <v>168</v>
      </c>
      <c r="G47">
        <v>2</v>
      </c>
      <c r="H47">
        <v>6</v>
      </c>
      <c r="I47">
        <v>0</v>
      </c>
      <c r="J47">
        <v>3</v>
      </c>
      <c r="K47" t="s">
        <v>66</v>
      </c>
      <c r="L47" s="18">
        <v>0.39583333333333331</v>
      </c>
      <c r="M47" t="s">
        <v>66</v>
      </c>
      <c r="N47" s="18">
        <v>0.5625</v>
      </c>
      <c r="O47" t="s">
        <v>12</v>
      </c>
      <c r="P47" t="s">
        <v>15</v>
      </c>
      <c r="Q47" t="s">
        <v>14</v>
      </c>
      <c r="T47" s="18">
        <v>0</v>
      </c>
      <c r="W47" s="19">
        <v>1</v>
      </c>
      <c r="X47" t="s">
        <v>31</v>
      </c>
      <c r="Y47">
        <v>0</v>
      </c>
      <c r="Z47">
        <v>0</v>
      </c>
      <c r="AB47" t="s">
        <v>22</v>
      </c>
      <c r="AC47">
        <v>18</v>
      </c>
    </row>
    <row r="48" spans="1:29" x14ac:dyDescent="0.25">
      <c r="A48">
        <v>133875987</v>
      </c>
      <c r="B48">
        <v>2031392025</v>
      </c>
      <c r="C48">
        <v>40</v>
      </c>
      <c r="E48" t="s">
        <v>10</v>
      </c>
      <c r="F48" t="s">
        <v>169</v>
      </c>
      <c r="G48">
        <v>2</v>
      </c>
      <c r="H48">
        <v>6</v>
      </c>
      <c r="I48">
        <v>0</v>
      </c>
      <c r="J48">
        <v>3</v>
      </c>
      <c r="K48" t="s">
        <v>64</v>
      </c>
      <c r="L48" s="18">
        <v>0.35416666666666669</v>
      </c>
      <c r="M48" t="s">
        <v>64</v>
      </c>
      <c r="N48" s="18">
        <v>0.47916666666666669</v>
      </c>
      <c r="O48" t="s">
        <v>12</v>
      </c>
      <c r="P48" t="s">
        <v>15</v>
      </c>
      <c r="Q48" t="s">
        <v>14</v>
      </c>
      <c r="T48" s="18">
        <v>0</v>
      </c>
      <c r="W48" s="19">
        <v>1</v>
      </c>
      <c r="X48" t="s">
        <v>31</v>
      </c>
      <c r="Y48">
        <v>0</v>
      </c>
      <c r="Z48">
        <v>0</v>
      </c>
      <c r="AB48" t="s">
        <v>22</v>
      </c>
      <c r="AC48">
        <v>18</v>
      </c>
    </row>
    <row r="49" spans="1:29" x14ac:dyDescent="0.25">
      <c r="A49">
        <v>133871563</v>
      </c>
      <c r="B49">
        <v>2031392025</v>
      </c>
      <c r="C49">
        <v>140</v>
      </c>
      <c r="E49" t="s">
        <v>10</v>
      </c>
      <c r="F49" t="s">
        <v>170</v>
      </c>
      <c r="G49">
        <v>1</v>
      </c>
      <c r="H49">
        <v>0.2</v>
      </c>
      <c r="I49">
        <v>0</v>
      </c>
      <c r="J49">
        <v>0.2</v>
      </c>
      <c r="K49" t="s">
        <v>78</v>
      </c>
      <c r="L49" s="18">
        <v>0.46250000000000002</v>
      </c>
      <c r="M49" t="s">
        <v>78</v>
      </c>
      <c r="N49" s="18">
        <v>0.47083333333333333</v>
      </c>
      <c r="O49" t="s">
        <v>12</v>
      </c>
      <c r="P49" t="s">
        <v>15</v>
      </c>
      <c r="Q49" t="s">
        <v>14</v>
      </c>
      <c r="T49" s="18">
        <v>0</v>
      </c>
      <c r="W49" s="18">
        <v>0</v>
      </c>
      <c r="Y49">
        <v>0</v>
      </c>
      <c r="Z49">
        <v>0</v>
      </c>
      <c r="AB49" t="s">
        <v>22</v>
      </c>
      <c r="AC49">
        <v>18</v>
      </c>
    </row>
    <row r="50" spans="1:29" x14ac:dyDescent="0.25">
      <c r="A50">
        <v>133876007</v>
      </c>
      <c r="B50">
        <v>2031392166</v>
      </c>
      <c r="C50">
        <v>10</v>
      </c>
      <c r="E50" t="s">
        <v>10</v>
      </c>
      <c r="F50" t="s">
        <v>171</v>
      </c>
      <c r="G50">
        <v>2</v>
      </c>
      <c r="H50">
        <v>2</v>
      </c>
      <c r="I50">
        <v>0</v>
      </c>
      <c r="J50">
        <v>1</v>
      </c>
      <c r="K50" t="s">
        <v>66</v>
      </c>
      <c r="L50" s="18">
        <v>0.39583333333333331</v>
      </c>
      <c r="M50" t="s">
        <v>66</v>
      </c>
      <c r="N50" s="18">
        <v>0.4375</v>
      </c>
      <c r="O50" t="s">
        <v>12</v>
      </c>
      <c r="P50" t="s">
        <v>15</v>
      </c>
      <c r="Q50" t="s">
        <v>14</v>
      </c>
      <c r="T50" s="18">
        <v>0</v>
      </c>
      <c r="W50" s="19">
        <v>1</v>
      </c>
      <c r="X50" t="s">
        <v>31</v>
      </c>
      <c r="Y50">
        <v>0</v>
      </c>
      <c r="Z50">
        <v>0</v>
      </c>
      <c r="AB50" t="s">
        <v>22</v>
      </c>
      <c r="AC50">
        <v>18</v>
      </c>
    </row>
    <row r="51" spans="1:29" x14ac:dyDescent="0.25">
      <c r="A51">
        <v>133876012</v>
      </c>
      <c r="B51">
        <v>2031392166</v>
      </c>
      <c r="C51">
        <v>40</v>
      </c>
      <c r="E51" t="s">
        <v>10</v>
      </c>
      <c r="F51" t="s">
        <v>172</v>
      </c>
      <c r="G51">
        <v>2</v>
      </c>
      <c r="H51">
        <v>2</v>
      </c>
      <c r="I51">
        <v>0</v>
      </c>
      <c r="J51">
        <v>1</v>
      </c>
      <c r="K51" t="s">
        <v>66</v>
      </c>
      <c r="L51" s="18">
        <v>0.6875</v>
      </c>
      <c r="M51" t="s">
        <v>66</v>
      </c>
      <c r="N51" s="18">
        <v>0.72916666666666663</v>
      </c>
      <c r="O51" t="s">
        <v>12</v>
      </c>
      <c r="P51" t="s">
        <v>15</v>
      </c>
      <c r="Q51" t="s">
        <v>14</v>
      </c>
      <c r="T51" s="18">
        <v>0</v>
      </c>
      <c r="W51" s="19">
        <v>1</v>
      </c>
      <c r="X51" t="s">
        <v>31</v>
      </c>
      <c r="Y51">
        <v>0</v>
      </c>
      <c r="Z51">
        <v>0</v>
      </c>
      <c r="AB51" t="s">
        <v>22</v>
      </c>
      <c r="AC51">
        <v>18</v>
      </c>
    </row>
    <row r="52" spans="1:29" x14ac:dyDescent="0.25">
      <c r="A52">
        <v>133877328</v>
      </c>
      <c r="B52">
        <v>2031392166</v>
      </c>
      <c r="C52">
        <v>140</v>
      </c>
      <c r="E52" t="s">
        <v>10</v>
      </c>
      <c r="F52" t="s">
        <v>173</v>
      </c>
      <c r="G52">
        <v>1</v>
      </c>
      <c r="H52">
        <v>0.2</v>
      </c>
      <c r="I52">
        <v>0</v>
      </c>
      <c r="J52">
        <v>0.2</v>
      </c>
      <c r="K52" t="s">
        <v>64</v>
      </c>
      <c r="L52" s="18">
        <v>0.71250000000000002</v>
      </c>
      <c r="M52" t="s">
        <v>64</v>
      </c>
      <c r="N52" s="18">
        <v>0.72083333333333333</v>
      </c>
      <c r="O52" t="s">
        <v>12</v>
      </c>
      <c r="P52" t="s">
        <v>15</v>
      </c>
      <c r="Q52" t="s">
        <v>14</v>
      </c>
      <c r="T52" s="18">
        <v>0</v>
      </c>
      <c r="W52" s="18">
        <v>0</v>
      </c>
      <c r="Y52">
        <v>0</v>
      </c>
      <c r="Z52">
        <v>0</v>
      </c>
      <c r="AB52" t="s">
        <v>22</v>
      </c>
      <c r="AC52">
        <v>18</v>
      </c>
    </row>
    <row r="53" spans="1:29" x14ac:dyDescent="0.25">
      <c r="A53">
        <v>133876578</v>
      </c>
      <c r="B53">
        <v>2031392169</v>
      </c>
      <c r="C53">
        <v>10</v>
      </c>
      <c r="E53" t="s">
        <v>10</v>
      </c>
      <c r="F53" t="s">
        <v>174</v>
      </c>
      <c r="G53">
        <v>2</v>
      </c>
      <c r="H53">
        <v>2</v>
      </c>
      <c r="I53">
        <v>0</v>
      </c>
      <c r="J53">
        <v>1</v>
      </c>
      <c r="K53" t="s">
        <v>66</v>
      </c>
      <c r="L53" s="18">
        <v>0.39583333333333331</v>
      </c>
      <c r="M53" t="s">
        <v>66</v>
      </c>
      <c r="N53" s="18">
        <v>0.4375</v>
      </c>
      <c r="O53" t="s">
        <v>12</v>
      </c>
      <c r="P53" t="s">
        <v>15</v>
      </c>
      <c r="Q53" t="s">
        <v>14</v>
      </c>
      <c r="T53" s="18">
        <v>0</v>
      </c>
      <c r="W53" s="19">
        <v>1</v>
      </c>
      <c r="X53" t="s">
        <v>31</v>
      </c>
      <c r="Y53">
        <v>0</v>
      </c>
      <c r="Z53">
        <v>0</v>
      </c>
      <c r="AB53" t="s">
        <v>22</v>
      </c>
      <c r="AC53">
        <v>18</v>
      </c>
    </row>
    <row r="54" spans="1:29" x14ac:dyDescent="0.25">
      <c r="A54">
        <v>133876583</v>
      </c>
      <c r="B54">
        <v>2031392169</v>
      </c>
      <c r="C54">
        <v>40</v>
      </c>
      <c r="E54" t="s">
        <v>10</v>
      </c>
      <c r="F54" t="s">
        <v>175</v>
      </c>
      <c r="G54">
        <v>2</v>
      </c>
      <c r="H54">
        <v>2</v>
      </c>
      <c r="I54">
        <v>0</v>
      </c>
      <c r="J54">
        <v>1</v>
      </c>
      <c r="K54" t="s">
        <v>66</v>
      </c>
      <c r="L54" s="18">
        <v>0.6875</v>
      </c>
      <c r="M54" t="s">
        <v>66</v>
      </c>
      <c r="N54" s="18">
        <v>0.72916666666666663</v>
      </c>
      <c r="O54" t="s">
        <v>12</v>
      </c>
      <c r="P54" t="s">
        <v>15</v>
      </c>
      <c r="Q54" t="s">
        <v>14</v>
      </c>
      <c r="T54" s="18">
        <v>0</v>
      </c>
      <c r="W54" s="19">
        <v>1</v>
      </c>
      <c r="X54" t="s">
        <v>31</v>
      </c>
      <c r="Y54">
        <v>0</v>
      </c>
      <c r="Z54">
        <v>0</v>
      </c>
      <c r="AB54" t="s">
        <v>22</v>
      </c>
      <c r="AC54">
        <v>18</v>
      </c>
    </row>
    <row r="55" spans="1:29" x14ac:dyDescent="0.25">
      <c r="A55">
        <v>133877330</v>
      </c>
      <c r="B55">
        <v>2031392169</v>
      </c>
      <c r="C55">
        <v>140</v>
      </c>
      <c r="E55" t="s">
        <v>10</v>
      </c>
      <c r="F55" t="s">
        <v>176</v>
      </c>
      <c r="G55">
        <v>1</v>
      </c>
      <c r="H55">
        <v>0.2</v>
      </c>
      <c r="I55">
        <v>0</v>
      </c>
      <c r="J55">
        <v>0.2</v>
      </c>
      <c r="K55" t="s">
        <v>64</v>
      </c>
      <c r="L55" s="18">
        <v>0.71250000000000002</v>
      </c>
      <c r="M55" t="s">
        <v>64</v>
      </c>
      <c r="N55" s="18">
        <v>0.72083333333333333</v>
      </c>
      <c r="O55" t="s">
        <v>12</v>
      </c>
      <c r="P55" t="s">
        <v>15</v>
      </c>
      <c r="Q55" t="s">
        <v>14</v>
      </c>
      <c r="T55" s="18">
        <v>0</v>
      </c>
      <c r="W55" s="18">
        <v>0</v>
      </c>
      <c r="Y55">
        <v>0</v>
      </c>
      <c r="Z55">
        <v>0</v>
      </c>
      <c r="AB55" t="s">
        <v>22</v>
      </c>
      <c r="AC55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topLeftCell="A27" workbookViewId="0">
      <selection activeCell="AC54" sqref="A54:AC620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519.5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111720873</v>
      </c>
      <c r="B3">
        <v>2027633988</v>
      </c>
      <c r="C3">
        <v>910</v>
      </c>
      <c r="E3" t="s">
        <v>11</v>
      </c>
      <c r="F3" t="s">
        <v>236</v>
      </c>
      <c r="G3">
        <v>4</v>
      </c>
      <c r="H3">
        <v>6</v>
      </c>
      <c r="I3">
        <v>0</v>
      </c>
      <c r="J3">
        <v>1.5</v>
      </c>
      <c r="K3" t="s">
        <v>66</v>
      </c>
      <c r="L3" s="18">
        <v>0.62083333333333335</v>
      </c>
      <c r="M3" t="s">
        <v>66</v>
      </c>
      <c r="N3" s="18">
        <v>0.67083333333333328</v>
      </c>
      <c r="O3" t="s">
        <v>21</v>
      </c>
      <c r="P3" t="s">
        <v>13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18</v>
      </c>
    </row>
    <row r="4" spans="1:29" x14ac:dyDescent="0.25">
      <c r="A4">
        <v>123399550</v>
      </c>
      <c r="B4">
        <v>2028114024</v>
      </c>
      <c r="C4">
        <v>400</v>
      </c>
      <c r="E4" t="s">
        <v>11</v>
      </c>
      <c r="F4" t="s">
        <v>237</v>
      </c>
      <c r="G4">
        <v>4</v>
      </c>
      <c r="H4">
        <v>8</v>
      </c>
      <c r="I4">
        <v>0</v>
      </c>
      <c r="J4">
        <v>2</v>
      </c>
      <c r="K4" t="s">
        <v>88</v>
      </c>
      <c r="L4" s="18">
        <v>0.35416666666666669</v>
      </c>
      <c r="M4" t="s">
        <v>88</v>
      </c>
      <c r="N4" s="18">
        <v>0.42083333333333334</v>
      </c>
      <c r="O4" t="s">
        <v>51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18</v>
      </c>
    </row>
    <row r="5" spans="1:29" x14ac:dyDescent="0.25">
      <c r="A5">
        <v>122762371</v>
      </c>
      <c r="B5">
        <v>2028171056</v>
      </c>
      <c r="C5">
        <v>260</v>
      </c>
      <c r="E5" t="s">
        <v>11</v>
      </c>
      <c r="F5" t="s">
        <v>238</v>
      </c>
      <c r="G5">
        <v>4</v>
      </c>
      <c r="H5">
        <v>24</v>
      </c>
      <c r="I5">
        <v>0</v>
      </c>
      <c r="J5">
        <v>6</v>
      </c>
      <c r="K5" t="s">
        <v>66</v>
      </c>
      <c r="L5" s="18">
        <v>0.47916666666666669</v>
      </c>
      <c r="M5" t="s">
        <v>66</v>
      </c>
      <c r="N5" s="18">
        <v>0.72083333333333333</v>
      </c>
      <c r="O5" t="s">
        <v>51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18</v>
      </c>
    </row>
    <row r="6" spans="1:29" x14ac:dyDescent="0.25">
      <c r="A6">
        <v>119182001</v>
      </c>
      <c r="B6">
        <v>2028188144</v>
      </c>
      <c r="C6">
        <v>430</v>
      </c>
      <c r="E6" t="s">
        <v>11</v>
      </c>
      <c r="F6" t="s">
        <v>239</v>
      </c>
      <c r="G6">
        <v>4</v>
      </c>
      <c r="H6">
        <v>8</v>
      </c>
      <c r="I6">
        <v>0</v>
      </c>
      <c r="J6">
        <v>2</v>
      </c>
      <c r="K6" t="s">
        <v>66</v>
      </c>
      <c r="L6" s="18">
        <v>0.34583333333333333</v>
      </c>
      <c r="M6" t="s">
        <v>66</v>
      </c>
      <c r="N6" s="18">
        <v>0.41249999999999998</v>
      </c>
      <c r="O6" t="s">
        <v>51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22</v>
      </c>
      <c r="AC6">
        <v>18</v>
      </c>
    </row>
    <row r="7" spans="1:29" x14ac:dyDescent="0.25">
      <c r="A7">
        <v>116174927</v>
      </c>
      <c r="B7">
        <v>2028602603</v>
      </c>
      <c r="C7">
        <v>10</v>
      </c>
      <c r="E7" t="s">
        <v>11</v>
      </c>
      <c r="F7" t="s">
        <v>240</v>
      </c>
      <c r="G7">
        <v>4</v>
      </c>
      <c r="H7">
        <v>16</v>
      </c>
      <c r="I7">
        <v>0</v>
      </c>
      <c r="J7">
        <v>4</v>
      </c>
      <c r="K7" t="s">
        <v>64</v>
      </c>
      <c r="L7" s="18">
        <v>0.47083333333333333</v>
      </c>
      <c r="M7" t="s">
        <v>64</v>
      </c>
      <c r="N7" s="18">
        <v>0.64583333333333337</v>
      </c>
      <c r="O7" t="s">
        <v>12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22</v>
      </c>
      <c r="AC7">
        <v>18</v>
      </c>
    </row>
    <row r="8" spans="1:29" x14ac:dyDescent="0.25">
      <c r="A8">
        <v>116174928</v>
      </c>
      <c r="B8">
        <v>2028602604</v>
      </c>
      <c r="C8">
        <v>10</v>
      </c>
      <c r="E8" t="s">
        <v>11</v>
      </c>
      <c r="F8" t="s">
        <v>241</v>
      </c>
      <c r="G8">
        <v>4</v>
      </c>
      <c r="H8">
        <v>16</v>
      </c>
      <c r="I8">
        <v>0</v>
      </c>
      <c r="J8">
        <v>4</v>
      </c>
      <c r="K8" t="s">
        <v>78</v>
      </c>
      <c r="L8" s="18">
        <v>0.47916666666666669</v>
      </c>
      <c r="M8" t="s">
        <v>78</v>
      </c>
      <c r="N8" s="18">
        <v>0.65416666666666667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22</v>
      </c>
      <c r="AC8">
        <v>18</v>
      </c>
    </row>
    <row r="9" spans="1:29" x14ac:dyDescent="0.25">
      <c r="A9">
        <v>120770709</v>
      </c>
      <c r="B9">
        <v>2029331355</v>
      </c>
      <c r="C9">
        <v>65</v>
      </c>
      <c r="E9" t="s">
        <v>11</v>
      </c>
      <c r="F9" t="s">
        <v>242</v>
      </c>
      <c r="G9">
        <v>4</v>
      </c>
      <c r="H9">
        <v>8</v>
      </c>
      <c r="I9">
        <v>0</v>
      </c>
      <c r="J9">
        <v>2</v>
      </c>
      <c r="K9" t="s">
        <v>86</v>
      </c>
      <c r="L9" s="18">
        <v>0.57086805555555553</v>
      </c>
      <c r="M9" t="s">
        <v>86</v>
      </c>
      <c r="N9" s="18">
        <v>0.63753472222222218</v>
      </c>
      <c r="O9" t="s">
        <v>51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18</v>
      </c>
    </row>
    <row r="10" spans="1:29" x14ac:dyDescent="0.25">
      <c r="A10">
        <v>132919366</v>
      </c>
      <c r="B10">
        <v>2029331361</v>
      </c>
      <c r="C10">
        <v>80</v>
      </c>
      <c r="E10" t="s">
        <v>11</v>
      </c>
      <c r="F10" t="s">
        <v>243</v>
      </c>
      <c r="G10">
        <v>4</v>
      </c>
      <c r="H10">
        <v>8</v>
      </c>
      <c r="I10">
        <v>0</v>
      </c>
      <c r="J10">
        <v>2</v>
      </c>
      <c r="K10" t="s">
        <v>64</v>
      </c>
      <c r="L10" s="18">
        <v>0.60250000000000004</v>
      </c>
      <c r="M10" t="s">
        <v>64</v>
      </c>
      <c r="N10" s="18">
        <v>0.66916666666666669</v>
      </c>
      <c r="O10" t="s">
        <v>51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22</v>
      </c>
      <c r="AC10">
        <v>18</v>
      </c>
    </row>
    <row r="11" spans="1:29" x14ac:dyDescent="0.25">
      <c r="A11">
        <v>120483050</v>
      </c>
      <c r="B11">
        <v>2029331362</v>
      </c>
      <c r="C11">
        <v>10</v>
      </c>
      <c r="E11" t="s">
        <v>11</v>
      </c>
      <c r="F11" t="s">
        <v>244</v>
      </c>
      <c r="G11">
        <v>4</v>
      </c>
      <c r="H11">
        <v>16</v>
      </c>
      <c r="I11">
        <v>0</v>
      </c>
      <c r="J11">
        <v>4</v>
      </c>
      <c r="K11" t="s">
        <v>64</v>
      </c>
      <c r="L11" s="18">
        <v>0.71250000000000002</v>
      </c>
      <c r="M11" t="s">
        <v>78</v>
      </c>
      <c r="N11" s="18">
        <v>0.42916666666666664</v>
      </c>
      <c r="O11" t="s">
        <v>51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22</v>
      </c>
      <c r="AC11">
        <v>18</v>
      </c>
    </row>
    <row r="12" spans="1:29" x14ac:dyDescent="0.25">
      <c r="A12">
        <v>120483054</v>
      </c>
      <c r="B12">
        <v>2029331363</v>
      </c>
      <c r="C12">
        <v>10</v>
      </c>
      <c r="E12" t="s">
        <v>11</v>
      </c>
      <c r="F12" t="s">
        <v>245</v>
      </c>
      <c r="G12">
        <v>4</v>
      </c>
      <c r="H12">
        <v>16</v>
      </c>
      <c r="I12">
        <v>0</v>
      </c>
      <c r="J12">
        <v>4</v>
      </c>
      <c r="K12" t="s">
        <v>64</v>
      </c>
      <c r="L12" s="18">
        <v>0.71916666666666662</v>
      </c>
      <c r="M12" t="s">
        <v>78</v>
      </c>
      <c r="N12" s="18">
        <v>0.43583333333333335</v>
      </c>
      <c r="O12" t="s">
        <v>51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22</v>
      </c>
      <c r="AC12">
        <v>18</v>
      </c>
    </row>
    <row r="13" spans="1:29" x14ac:dyDescent="0.25">
      <c r="A13">
        <v>132920179</v>
      </c>
      <c r="B13">
        <v>2029381304</v>
      </c>
      <c r="C13">
        <v>95</v>
      </c>
      <c r="E13" t="s">
        <v>11</v>
      </c>
      <c r="F13" t="s">
        <v>246</v>
      </c>
      <c r="G13">
        <v>4</v>
      </c>
      <c r="H13">
        <v>8</v>
      </c>
      <c r="I13">
        <v>0</v>
      </c>
      <c r="J13">
        <v>2</v>
      </c>
      <c r="K13" t="s">
        <v>64</v>
      </c>
      <c r="L13" s="18">
        <v>0.61250000000000004</v>
      </c>
      <c r="M13" t="s">
        <v>64</v>
      </c>
      <c r="N13" s="18">
        <v>0.6791666666666667</v>
      </c>
      <c r="O13" t="s">
        <v>51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18</v>
      </c>
    </row>
    <row r="14" spans="1:29" x14ac:dyDescent="0.25">
      <c r="A14">
        <v>132921088</v>
      </c>
      <c r="B14">
        <v>2029381586</v>
      </c>
      <c r="C14">
        <v>95</v>
      </c>
      <c r="E14" t="s">
        <v>11</v>
      </c>
      <c r="F14" t="s">
        <v>247</v>
      </c>
      <c r="G14">
        <v>4</v>
      </c>
      <c r="H14">
        <v>8</v>
      </c>
      <c r="I14">
        <v>0</v>
      </c>
      <c r="J14">
        <v>2</v>
      </c>
      <c r="K14" t="s">
        <v>88</v>
      </c>
      <c r="L14" s="18">
        <v>0.37083333333333335</v>
      </c>
      <c r="M14" t="s">
        <v>88</v>
      </c>
      <c r="N14" s="18">
        <v>0.4375</v>
      </c>
      <c r="O14" t="s">
        <v>51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22</v>
      </c>
      <c r="AC14">
        <v>18</v>
      </c>
    </row>
    <row r="15" spans="1:29" x14ac:dyDescent="0.25">
      <c r="A15">
        <v>132921097</v>
      </c>
      <c r="B15">
        <v>2029381590</v>
      </c>
      <c r="C15">
        <v>95</v>
      </c>
      <c r="E15" t="s">
        <v>11</v>
      </c>
      <c r="F15" t="s">
        <v>248</v>
      </c>
      <c r="G15">
        <v>4</v>
      </c>
      <c r="H15">
        <v>8</v>
      </c>
      <c r="I15">
        <v>0</v>
      </c>
      <c r="J15">
        <v>2</v>
      </c>
      <c r="K15" t="s">
        <v>88</v>
      </c>
      <c r="L15" s="18">
        <v>0.37083333333333335</v>
      </c>
      <c r="M15" t="s">
        <v>88</v>
      </c>
      <c r="N15" s="18">
        <v>0.4375</v>
      </c>
      <c r="O15" t="s">
        <v>51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22</v>
      </c>
      <c r="AC15">
        <v>18</v>
      </c>
    </row>
    <row r="16" spans="1:29" x14ac:dyDescent="0.25">
      <c r="A16">
        <v>133594592</v>
      </c>
      <c r="B16">
        <v>2029431417</v>
      </c>
      <c r="C16">
        <v>855</v>
      </c>
      <c r="E16" t="s">
        <v>11</v>
      </c>
      <c r="F16" t="s">
        <v>249</v>
      </c>
      <c r="G16">
        <v>4</v>
      </c>
      <c r="H16">
        <v>8</v>
      </c>
      <c r="I16">
        <v>0</v>
      </c>
      <c r="J16">
        <v>2</v>
      </c>
      <c r="K16" t="s">
        <v>66</v>
      </c>
      <c r="L16" s="18">
        <v>0.5541666666666667</v>
      </c>
      <c r="M16" t="s">
        <v>66</v>
      </c>
      <c r="N16" s="18">
        <v>0.62083333333333335</v>
      </c>
      <c r="O16" t="s">
        <v>12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22</v>
      </c>
      <c r="AC16">
        <v>18</v>
      </c>
    </row>
    <row r="17" spans="1:29" x14ac:dyDescent="0.25">
      <c r="A17">
        <v>131944118</v>
      </c>
      <c r="B17">
        <v>2029431417</v>
      </c>
      <c r="C17">
        <v>975</v>
      </c>
      <c r="E17" t="s">
        <v>11</v>
      </c>
      <c r="F17" t="s">
        <v>250</v>
      </c>
      <c r="G17">
        <v>4</v>
      </c>
      <c r="H17">
        <v>8</v>
      </c>
      <c r="I17">
        <v>0</v>
      </c>
      <c r="J17">
        <v>2</v>
      </c>
      <c r="K17" t="s">
        <v>78</v>
      </c>
      <c r="L17" s="18">
        <v>0.37916666666666665</v>
      </c>
      <c r="M17" t="s">
        <v>78</v>
      </c>
      <c r="N17" s="18">
        <v>0.44583333333333336</v>
      </c>
      <c r="O17" t="s">
        <v>51</v>
      </c>
      <c r="P17" t="s">
        <v>15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22</v>
      </c>
      <c r="AC17">
        <v>18</v>
      </c>
    </row>
    <row r="18" spans="1:29" x14ac:dyDescent="0.25">
      <c r="A18">
        <v>121207000</v>
      </c>
      <c r="B18">
        <v>2029431423</v>
      </c>
      <c r="C18">
        <v>70</v>
      </c>
      <c r="E18" t="s">
        <v>11</v>
      </c>
      <c r="F18" t="s">
        <v>251</v>
      </c>
      <c r="G18">
        <v>4</v>
      </c>
      <c r="H18">
        <v>8</v>
      </c>
      <c r="I18">
        <v>0</v>
      </c>
      <c r="J18">
        <v>2</v>
      </c>
      <c r="K18" t="s">
        <v>66</v>
      </c>
      <c r="L18" s="18">
        <v>0.41249999999999998</v>
      </c>
      <c r="M18" t="s">
        <v>66</v>
      </c>
      <c r="N18" s="18">
        <v>0.47916666666666669</v>
      </c>
      <c r="O18" t="s">
        <v>51</v>
      </c>
      <c r="P18" t="s">
        <v>13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22</v>
      </c>
      <c r="AC18">
        <v>18</v>
      </c>
    </row>
    <row r="19" spans="1:29" x14ac:dyDescent="0.25">
      <c r="A19">
        <v>122615330</v>
      </c>
      <c r="B19">
        <v>2029637692</v>
      </c>
      <c r="C19">
        <v>530</v>
      </c>
      <c r="E19" t="s">
        <v>11</v>
      </c>
      <c r="F19" t="s">
        <v>252</v>
      </c>
      <c r="G19">
        <v>1</v>
      </c>
      <c r="H19">
        <v>2</v>
      </c>
      <c r="I19">
        <v>0</v>
      </c>
      <c r="J19">
        <v>2</v>
      </c>
      <c r="K19" t="s">
        <v>78</v>
      </c>
      <c r="L19" s="18">
        <v>0.33750000000000002</v>
      </c>
      <c r="M19" t="s">
        <v>78</v>
      </c>
      <c r="N19" s="18">
        <v>0.40416666666666667</v>
      </c>
      <c r="O19" t="s">
        <v>21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22</v>
      </c>
      <c r="AC19">
        <v>18</v>
      </c>
    </row>
    <row r="20" spans="1:29" x14ac:dyDescent="0.25">
      <c r="A20">
        <v>123415688</v>
      </c>
      <c r="B20">
        <v>2029800710</v>
      </c>
      <c r="C20">
        <v>30</v>
      </c>
      <c r="E20" t="s">
        <v>11</v>
      </c>
      <c r="F20" t="s">
        <v>253</v>
      </c>
      <c r="G20">
        <v>4</v>
      </c>
      <c r="H20">
        <v>16</v>
      </c>
      <c r="I20">
        <v>0</v>
      </c>
      <c r="J20">
        <v>4</v>
      </c>
      <c r="K20" t="s">
        <v>86</v>
      </c>
      <c r="L20" s="18">
        <v>0.47920138888888891</v>
      </c>
      <c r="M20" t="s">
        <v>86</v>
      </c>
      <c r="N20" s="18">
        <v>0.6542013888888889</v>
      </c>
      <c r="O20" t="s">
        <v>21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18</v>
      </c>
    </row>
    <row r="21" spans="1:29" x14ac:dyDescent="0.25">
      <c r="A21">
        <v>124217108</v>
      </c>
      <c r="B21">
        <v>2029801237</v>
      </c>
      <c r="C21">
        <v>140</v>
      </c>
      <c r="E21" t="s">
        <v>11</v>
      </c>
      <c r="F21" t="s">
        <v>254</v>
      </c>
      <c r="G21">
        <v>4</v>
      </c>
      <c r="H21">
        <v>4</v>
      </c>
      <c r="I21">
        <v>0</v>
      </c>
      <c r="J21">
        <v>1</v>
      </c>
      <c r="K21" t="s">
        <v>66</v>
      </c>
      <c r="L21" s="18">
        <v>0.3125</v>
      </c>
      <c r="M21" t="s">
        <v>66</v>
      </c>
      <c r="N21" s="18">
        <v>0.35416666666666669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18</v>
      </c>
    </row>
    <row r="22" spans="1:29" x14ac:dyDescent="0.25">
      <c r="A22">
        <v>124019220</v>
      </c>
      <c r="B22">
        <v>2029936012</v>
      </c>
      <c r="C22">
        <v>80</v>
      </c>
      <c r="E22" t="s">
        <v>11</v>
      </c>
      <c r="F22" t="s">
        <v>255</v>
      </c>
      <c r="G22">
        <v>4</v>
      </c>
      <c r="H22">
        <v>16</v>
      </c>
      <c r="I22">
        <v>0</v>
      </c>
      <c r="J22">
        <v>4</v>
      </c>
      <c r="K22" t="s">
        <v>88</v>
      </c>
      <c r="L22" s="18">
        <v>0.66249999999999998</v>
      </c>
      <c r="M22" t="s">
        <v>86</v>
      </c>
      <c r="N22" s="18">
        <v>0.37916666666666665</v>
      </c>
      <c r="O22" t="s">
        <v>51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22</v>
      </c>
      <c r="AC22">
        <v>18</v>
      </c>
    </row>
    <row r="23" spans="1:29" x14ac:dyDescent="0.25">
      <c r="A23">
        <v>124019222</v>
      </c>
      <c r="B23">
        <v>2029936012</v>
      </c>
      <c r="C23">
        <v>100</v>
      </c>
      <c r="E23" t="s">
        <v>11</v>
      </c>
      <c r="F23" t="s">
        <v>256</v>
      </c>
      <c r="G23">
        <v>4</v>
      </c>
      <c r="H23">
        <v>16</v>
      </c>
      <c r="I23">
        <v>0</v>
      </c>
      <c r="J23">
        <v>4</v>
      </c>
      <c r="K23" t="s">
        <v>86</v>
      </c>
      <c r="L23" s="18">
        <v>0.37916666666666665</v>
      </c>
      <c r="M23" t="s">
        <v>86</v>
      </c>
      <c r="N23" s="18">
        <v>0.5541666666666667</v>
      </c>
      <c r="O23" t="s">
        <v>51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22</v>
      </c>
      <c r="AC23">
        <v>18</v>
      </c>
    </row>
    <row r="24" spans="1:29" x14ac:dyDescent="0.25">
      <c r="A24">
        <v>125191695</v>
      </c>
      <c r="B24">
        <v>2030059635</v>
      </c>
      <c r="C24">
        <v>430</v>
      </c>
      <c r="E24" t="s">
        <v>11</v>
      </c>
      <c r="F24" t="s">
        <v>257</v>
      </c>
      <c r="G24">
        <v>4</v>
      </c>
      <c r="H24">
        <v>6</v>
      </c>
      <c r="I24">
        <v>0</v>
      </c>
      <c r="J24">
        <v>1.5</v>
      </c>
      <c r="K24" t="s">
        <v>66</v>
      </c>
      <c r="L24" s="18">
        <v>0.6958333333333333</v>
      </c>
      <c r="M24" t="s">
        <v>64</v>
      </c>
      <c r="N24" s="18">
        <v>0.34166666666666667</v>
      </c>
      <c r="O24" t="s">
        <v>51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22</v>
      </c>
      <c r="AC24">
        <v>18</v>
      </c>
    </row>
    <row r="25" spans="1:29" x14ac:dyDescent="0.25">
      <c r="A25">
        <v>131759253</v>
      </c>
      <c r="B25">
        <v>2030150453</v>
      </c>
      <c r="C25">
        <v>185</v>
      </c>
      <c r="E25" t="s">
        <v>11</v>
      </c>
      <c r="F25" t="s">
        <v>258</v>
      </c>
      <c r="G25">
        <v>4</v>
      </c>
      <c r="H25">
        <v>8</v>
      </c>
      <c r="I25">
        <v>0</v>
      </c>
      <c r="J25">
        <v>2</v>
      </c>
      <c r="K25" t="s">
        <v>64</v>
      </c>
      <c r="L25" s="18">
        <v>0.54583333333333328</v>
      </c>
      <c r="M25" t="s">
        <v>64</v>
      </c>
      <c r="N25" s="18">
        <v>0.61250000000000004</v>
      </c>
      <c r="O25" t="s">
        <v>51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22</v>
      </c>
      <c r="AC25">
        <v>18</v>
      </c>
    </row>
    <row r="26" spans="1:29" x14ac:dyDescent="0.25">
      <c r="A26">
        <v>126985620</v>
      </c>
      <c r="B26">
        <v>2030357138</v>
      </c>
      <c r="C26">
        <v>10</v>
      </c>
      <c r="E26" t="s">
        <v>11</v>
      </c>
      <c r="F26" t="s">
        <v>259</v>
      </c>
      <c r="G26">
        <v>4</v>
      </c>
      <c r="H26">
        <v>12</v>
      </c>
      <c r="I26">
        <v>0</v>
      </c>
      <c r="J26">
        <v>3</v>
      </c>
      <c r="K26" t="s">
        <v>66</v>
      </c>
      <c r="L26" s="18">
        <v>0.3125</v>
      </c>
      <c r="M26" t="s">
        <v>66</v>
      </c>
      <c r="N26" s="18">
        <v>0.4375</v>
      </c>
      <c r="O26" t="s">
        <v>12</v>
      </c>
      <c r="P26" t="s">
        <v>15</v>
      </c>
      <c r="Q26" t="s">
        <v>14</v>
      </c>
      <c r="T26" s="18">
        <v>0</v>
      </c>
      <c r="W26" s="19">
        <v>1</v>
      </c>
      <c r="Y26">
        <v>0</v>
      </c>
      <c r="Z26">
        <v>0</v>
      </c>
      <c r="AA26">
        <v>1</v>
      </c>
      <c r="AB26" t="s">
        <v>22</v>
      </c>
      <c r="AC26">
        <v>18</v>
      </c>
    </row>
    <row r="27" spans="1:29" x14ac:dyDescent="0.25">
      <c r="A27">
        <v>126985621</v>
      </c>
      <c r="B27">
        <v>2030357138</v>
      </c>
      <c r="C27">
        <v>15</v>
      </c>
      <c r="E27" t="s">
        <v>11</v>
      </c>
      <c r="F27" t="s">
        <v>260</v>
      </c>
      <c r="G27">
        <v>4</v>
      </c>
      <c r="H27">
        <v>8</v>
      </c>
      <c r="I27">
        <v>0</v>
      </c>
      <c r="J27">
        <v>2</v>
      </c>
      <c r="K27" t="s">
        <v>66</v>
      </c>
      <c r="L27" s="18">
        <v>0.4375</v>
      </c>
      <c r="M27" t="s">
        <v>66</v>
      </c>
      <c r="N27" s="18">
        <v>0.5625</v>
      </c>
      <c r="O27" t="s">
        <v>12</v>
      </c>
      <c r="P27" t="s">
        <v>15</v>
      </c>
      <c r="Q27" t="s">
        <v>14</v>
      </c>
      <c r="T27" s="18">
        <v>0</v>
      </c>
      <c r="W27" s="19">
        <v>1</v>
      </c>
      <c r="Y27">
        <v>0</v>
      </c>
      <c r="Z27">
        <v>0</v>
      </c>
      <c r="AA27">
        <v>1</v>
      </c>
      <c r="AB27" t="s">
        <v>22</v>
      </c>
      <c r="AC27">
        <v>18</v>
      </c>
    </row>
    <row r="28" spans="1:29" x14ac:dyDescent="0.25">
      <c r="A28">
        <v>126985627</v>
      </c>
      <c r="B28">
        <v>2030357138</v>
      </c>
      <c r="C28">
        <v>60</v>
      </c>
      <c r="E28" t="s">
        <v>11</v>
      </c>
      <c r="F28" t="s">
        <v>261</v>
      </c>
      <c r="G28">
        <v>1</v>
      </c>
      <c r="H28">
        <v>1.5</v>
      </c>
      <c r="I28">
        <v>0</v>
      </c>
      <c r="J28">
        <v>1.5</v>
      </c>
      <c r="K28" t="s">
        <v>64</v>
      </c>
      <c r="L28" s="18">
        <v>0.65</v>
      </c>
      <c r="M28" t="s">
        <v>64</v>
      </c>
      <c r="N28" s="18">
        <v>0.71250000000000002</v>
      </c>
      <c r="O28" t="s">
        <v>12</v>
      </c>
      <c r="P28" t="s">
        <v>15</v>
      </c>
      <c r="Q28" t="s">
        <v>14</v>
      </c>
      <c r="T28" s="18">
        <v>0</v>
      </c>
      <c r="W28" s="19">
        <v>1</v>
      </c>
      <c r="Y28">
        <v>0</v>
      </c>
      <c r="Z28">
        <v>0</v>
      </c>
      <c r="AA28">
        <v>1</v>
      </c>
      <c r="AB28" t="s">
        <v>22</v>
      </c>
      <c r="AC28">
        <v>18</v>
      </c>
    </row>
    <row r="29" spans="1:29" x14ac:dyDescent="0.25">
      <c r="A29">
        <v>126985628</v>
      </c>
      <c r="B29">
        <v>2030357138</v>
      </c>
      <c r="C29">
        <v>70</v>
      </c>
      <c r="E29" t="s">
        <v>11</v>
      </c>
      <c r="F29" t="s">
        <v>262</v>
      </c>
      <c r="G29">
        <v>4</v>
      </c>
      <c r="H29">
        <v>4</v>
      </c>
      <c r="I29">
        <v>0</v>
      </c>
      <c r="J29">
        <v>1</v>
      </c>
      <c r="K29" t="s">
        <v>64</v>
      </c>
      <c r="L29" s="18">
        <v>0.71250000000000002</v>
      </c>
      <c r="M29" t="s">
        <v>78</v>
      </c>
      <c r="N29" s="18">
        <v>0.33750000000000002</v>
      </c>
      <c r="O29" t="s">
        <v>12</v>
      </c>
      <c r="P29" t="s">
        <v>15</v>
      </c>
      <c r="Q29" t="s">
        <v>14</v>
      </c>
      <c r="T29" s="18">
        <v>0</v>
      </c>
      <c r="W29" s="19">
        <v>1</v>
      </c>
      <c r="Y29">
        <v>0</v>
      </c>
      <c r="Z29">
        <v>0</v>
      </c>
      <c r="AA29">
        <v>1</v>
      </c>
      <c r="AB29" t="s">
        <v>22</v>
      </c>
      <c r="AC29">
        <v>18</v>
      </c>
    </row>
    <row r="30" spans="1:29" x14ac:dyDescent="0.25">
      <c r="A30">
        <v>127646184</v>
      </c>
      <c r="B30">
        <v>2030476802</v>
      </c>
      <c r="C30">
        <v>10</v>
      </c>
      <c r="E30" t="s">
        <v>11</v>
      </c>
      <c r="F30" t="s">
        <v>263</v>
      </c>
      <c r="G30">
        <v>4</v>
      </c>
      <c r="H30">
        <v>12</v>
      </c>
      <c r="I30">
        <v>0</v>
      </c>
      <c r="J30">
        <v>3</v>
      </c>
      <c r="K30" t="s">
        <v>66</v>
      </c>
      <c r="L30" s="18">
        <v>0.3125</v>
      </c>
      <c r="M30" t="s">
        <v>66</v>
      </c>
      <c r="N30" s="18">
        <v>0.4375</v>
      </c>
      <c r="O30" t="s">
        <v>51</v>
      </c>
      <c r="P30" t="s">
        <v>15</v>
      </c>
      <c r="Q30" t="s">
        <v>14</v>
      </c>
      <c r="T30" s="18">
        <v>0</v>
      </c>
      <c r="W30" s="19">
        <v>1</v>
      </c>
      <c r="Y30">
        <v>0</v>
      </c>
      <c r="Z30">
        <v>0</v>
      </c>
      <c r="AA30">
        <v>1</v>
      </c>
      <c r="AB30" t="s">
        <v>22</v>
      </c>
      <c r="AC30">
        <v>18</v>
      </c>
    </row>
    <row r="31" spans="1:29" x14ac:dyDescent="0.25">
      <c r="A31">
        <v>128386061</v>
      </c>
      <c r="B31">
        <v>2030476802</v>
      </c>
      <c r="C31">
        <v>60</v>
      </c>
      <c r="E31" t="s">
        <v>11</v>
      </c>
      <c r="F31" t="s">
        <v>264</v>
      </c>
      <c r="G31">
        <v>4</v>
      </c>
      <c r="H31">
        <v>6</v>
      </c>
      <c r="I31">
        <v>0</v>
      </c>
      <c r="J31">
        <v>1.5</v>
      </c>
      <c r="K31" t="s">
        <v>64</v>
      </c>
      <c r="L31" s="18">
        <v>0.48749999999999999</v>
      </c>
      <c r="M31" t="s">
        <v>64</v>
      </c>
      <c r="N31" s="18">
        <v>0.59166666666666667</v>
      </c>
      <c r="O31" t="s">
        <v>51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22</v>
      </c>
      <c r="AC31">
        <v>18</v>
      </c>
    </row>
    <row r="32" spans="1:29" x14ac:dyDescent="0.25">
      <c r="A32">
        <v>128595003</v>
      </c>
      <c r="B32">
        <v>2030477004</v>
      </c>
      <c r="C32">
        <v>55</v>
      </c>
      <c r="E32" t="s">
        <v>11</v>
      </c>
      <c r="F32" t="s">
        <v>265</v>
      </c>
      <c r="G32">
        <v>4</v>
      </c>
      <c r="H32">
        <v>4</v>
      </c>
      <c r="I32">
        <v>0</v>
      </c>
      <c r="J32">
        <v>1</v>
      </c>
      <c r="K32" t="s">
        <v>66</v>
      </c>
      <c r="L32" s="18">
        <v>0.3125</v>
      </c>
      <c r="M32" t="s">
        <v>66</v>
      </c>
      <c r="N32" s="18">
        <v>0.34583333333333333</v>
      </c>
      <c r="O32" t="s">
        <v>21</v>
      </c>
      <c r="P32" t="s">
        <v>15</v>
      </c>
      <c r="Q32" t="s">
        <v>14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22</v>
      </c>
      <c r="AC32">
        <v>18</v>
      </c>
    </row>
    <row r="33" spans="1:29" x14ac:dyDescent="0.25">
      <c r="A33">
        <v>128383179</v>
      </c>
      <c r="B33">
        <v>2030477166</v>
      </c>
      <c r="C33">
        <v>60</v>
      </c>
      <c r="E33" t="s">
        <v>11</v>
      </c>
      <c r="F33" t="s">
        <v>266</v>
      </c>
      <c r="G33">
        <v>4</v>
      </c>
      <c r="H33">
        <v>8</v>
      </c>
      <c r="I33">
        <v>0</v>
      </c>
      <c r="J33">
        <v>2</v>
      </c>
      <c r="K33" t="s">
        <v>64</v>
      </c>
      <c r="L33" s="18">
        <v>0.44166666666666665</v>
      </c>
      <c r="M33" t="s">
        <v>64</v>
      </c>
      <c r="N33" s="18">
        <v>0.56666666666666665</v>
      </c>
      <c r="O33" t="s">
        <v>51</v>
      </c>
      <c r="P33" t="s">
        <v>15</v>
      </c>
      <c r="Q33" t="s">
        <v>14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22</v>
      </c>
      <c r="AC33">
        <v>18</v>
      </c>
    </row>
    <row r="34" spans="1:29" x14ac:dyDescent="0.25">
      <c r="A34">
        <v>128634871</v>
      </c>
      <c r="B34">
        <v>2030477167</v>
      </c>
      <c r="C34">
        <v>5</v>
      </c>
      <c r="E34" t="s">
        <v>11</v>
      </c>
      <c r="F34" t="s">
        <v>267</v>
      </c>
      <c r="G34">
        <v>4</v>
      </c>
      <c r="H34">
        <v>8</v>
      </c>
      <c r="I34">
        <v>0</v>
      </c>
      <c r="J34">
        <v>2</v>
      </c>
      <c r="K34" t="s">
        <v>66</v>
      </c>
      <c r="L34" s="18">
        <v>0.3125</v>
      </c>
      <c r="M34" t="s">
        <v>66</v>
      </c>
      <c r="N34" s="18">
        <v>0.39583333333333331</v>
      </c>
      <c r="O34" t="s">
        <v>51</v>
      </c>
      <c r="P34" t="s">
        <v>15</v>
      </c>
      <c r="Q34" t="s">
        <v>14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22</v>
      </c>
      <c r="AC34">
        <v>18</v>
      </c>
    </row>
    <row r="35" spans="1:29" x14ac:dyDescent="0.25">
      <c r="A35">
        <v>128634874</v>
      </c>
      <c r="B35">
        <v>2030477167</v>
      </c>
      <c r="C35">
        <v>60</v>
      </c>
      <c r="E35" t="s">
        <v>11</v>
      </c>
      <c r="F35" t="s">
        <v>268</v>
      </c>
      <c r="G35">
        <v>4</v>
      </c>
      <c r="H35">
        <v>4</v>
      </c>
      <c r="I35">
        <v>0</v>
      </c>
      <c r="J35">
        <v>1</v>
      </c>
      <c r="K35" t="s">
        <v>64</v>
      </c>
      <c r="L35" s="18">
        <v>0.44583333333333336</v>
      </c>
      <c r="M35" t="s">
        <v>64</v>
      </c>
      <c r="N35" s="18">
        <v>0.48749999999999999</v>
      </c>
      <c r="O35" t="s">
        <v>51</v>
      </c>
      <c r="P35" t="s">
        <v>15</v>
      </c>
      <c r="Q35" t="s">
        <v>14</v>
      </c>
      <c r="T35" s="18">
        <v>0</v>
      </c>
      <c r="W35" s="18">
        <v>0</v>
      </c>
      <c r="Y35">
        <v>0</v>
      </c>
      <c r="Z35">
        <v>0</v>
      </c>
      <c r="AA35">
        <v>1</v>
      </c>
      <c r="AB35" t="s">
        <v>22</v>
      </c>
      <c r="AC35">
        <v>18</v>
      </c>
    </row>
    <row r="36" spans="1:29" x14ac:dyDescent="0.25">
      <c r="A36">
        <v>128045724</v>
      </c>
      <c r="B36">
        <v>2030543381</v>
      </c>
      <c r="C36">
        <v>10</v>
      </c>
      <c r="E36" t="s">
        <v>11</v>
      </c>
      <c r="F36" t="s">
        <v>269</v>
      </c>
      <c r="G36">
        <v>4</v>
      </c>
      <c r="H36">
        <v>16</v>
      </c>
      <c r="I36">
        <v>0</v>
      </c>
      <c r="J36">
        <v>4</v>
      </c>
      <c r="K36" t="s">
        <v>66</v>
      </c>
      <c r="L36" s="18">
        <v>0.3125</v>
      </c>
      <c r="M36" t="s">
        <v>66</v>
      </c>
      <c r="N36" s="18">
        <v>0.47916666666666669</v>
      </c>
      <c r="O36" t="s">
        <v>51</v>
      </c>
      <c r="P36" t="s">
        <v>15</v>
      </c>
      <c r="Q36" t="s">
        <v>14</v>
      </c>
      <c r="T36" s="18">
        <v>0</v>
      </c>
      <c r="W36" s="18">
        <v>0</v>
      </c>
      <c r="Y36">
        <v>0</v>
      </c>
      <c r="Z36">
        <v>0</v>
      </c>
      <c r="AB36" t="s">
        <v>22</v>
      </c>
      <c r="AC36">
        <v>18</v>
      </c>
    </row>
    <row r="37" spans="1:29" x14ac:dyDescent="0.25">
      <c r="A37">
        <v>128103967</v>
      </c>
      <c r="B37">
        <v>2030543381</v>
      </c>
      <c r="C37">
        <v>120</v>
      </c>
      <c r="E37" t="s">
        <v>11</v>
      </c>
      <c r="F37" t="s">
        <v>270</v>
      </c>
      <c r="G37">
        <v>4</v>
      </c>
      <c r="H37">
        <v>8</v>
      </c>
      <c r="I37">
        <v>0</v>
      </c>
      <c r="J37">
        <v>2</v>
      </c>
      <c r="K37" t="s">
        <v>66</v>
      </c>
      <c r="L37" s="18">
        <v>0.3125</v>
      </c>
      <c r="M37" t="s">
        <v>66</v>
      </c>
      <c r="N37" s="18">
        <v>0.39583333333333331</v>
      </c>
      <c r="O37" t="s">
        <v>51</v>
      </c>
      <c r="P37" t="s">
        <v>15</v>
      </c>
      <c r="Q37" t="s">
        <v>14</v>
      </c>
      <c r="T37" s="18">
        <v>0</v>
      </c>
      <c r="W37" s="18">
        <v>0</v>
      </c>
      <c r="Y37">
        <v>0</v>
      </c>
      <c r="Z37">
        <v>0</v>
      </c>
      <c r="AB37" t="s">
        <v>22</v>
      </c>
      <c r="AC37">
        <v>18</v>
      </c>
    </row>
    <row r="38" spans="1:29" x14ac:dyDescent="0.25">
      <c r="A38">
        <v>128612061</v>
      </c>
      <c r="B38">
        <v>2030634156</v>
      </c>
      <c r="C38">
        <v>10</v>
      </c>
      <c r="E38" t="s">
        <v>11</v>
      </c>
      <c r="F38" t="s">
        <v>271</v>
      </c>
      <c r="G38">
        <v>6</v>
      </c>
      <c r="H38">
        <v>36</v>
      </c>
      <c r="I38">
        <v>0</v>
      </c>
      <c r="J38">
        <v>6</v>
      </c>
      <c r="K38" t="s">
        <v>88</v>
      </c>
      <c r="L38" s="18">
        <v>0.69586805555555553</v>
      </c>
      <c r="M38" t="s">
        <v>86</v>
      </c>
      <c r="N38" s="18">
        <v>0.47920138888888891</v>
      </c>
      <c r="O38" t="s">
        <v>51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A38">
        <v>1</v>
      </c>
      <c r="AB38" t="s">
        <v>22</v>
      </c>
      <c r="AC38">
        <v>18</v>
      </c>
    </row>
    <row r="39" spans="1:29" x14ac:dyDescent="0.25">
      <c r="A39">
        <v>130194221</v>
      </c>
      <c r="B39">
        <v>2030880372</v>
      </c>
      <c r="C39">
        <v>10</v>
      </c>
      <c r="E39" t="s">
        <v>11</v>
      </c>
      <c r="F39" t="s">
        <v>272</v>
      </c>
      <c r="G39">
        <v>4</v>
      </c>
      <c r="H39">
        <v>12</v>
      </c>
      <c r="I39">
        <v>0</v>
      </c>
      <c r="J39">
        <v>3</v>
      </c>
      <c r="K39" t="s">
        <v>86</v>
      </c>
      <c r="L39" s="18">
        <v>0.58750000000000002</v>
      </c>
      <c r="M39" t="s">
        <v>86</v>
      </c>
      <c r="N39" s="18">
        <v>0.6875</v>
      </c>
      <c r="O39" t="s">
        <v>51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A39">
        <v>1</v>
      </c>
      <c r="AB39" t="s">
        <v>22</v>
      </c>
      <c r="AC39">
        <v>18</v>
      </c>
    </row>
    <row r="40" spans="1:29" x14ac:dyDescent="0.25">
      <c r="A40">
        <v>130465472</v>
      </c>
      <c r="B40">
        <v>2030911297</v>
      </c>
      <c r="C40">
        <v>10</v>
      </c>
      <c r="E40" t="s">
        <v>11</v>
      </c>
      <c r="F40" t="s">
        <v>273</v>
      </c>
      <c r="G40">
        <v>4</v>
      </c>
      <c r="H40">
        <v>16</v>
      </c>
      <c r="I40">
        <v>0</v>
      </c>
      <c r="J40">
        <v>4</v>
      </c>
      <c r="K40" t="s">
        <v>86</v>
      </c>
      <c r="L40" s="18">
        <v>0.3125</v>
      </c>
      <c r="M40" t="s">
        <v>86</v>
      </c>
      <c r="N40" s="18">
        <v>0.44583333333333336</v>
      </c>
      <c r="O40" t="s">
        <v>51</v>
      </c>
      <c r="P40" t="s">
        <v>15</v>
      </c>
      <c r="Q40" t="s">
        <v>14</v>
      </c>
      <c r="T40" s="18">
        <v>0</v>
      </c>
      <c r="W40" s="18">
        <v>0</v>
      </c>
      <c r="Y40">
        <v>0</v>
      </c>
      <c r="Z40">
        <v>0</v>
      </c>
      <c r="AA40">
        <v>1</v>
      </c>
      <c r="AB40" t="s">
        <v>22</v>
      </c>
      <c r="AC40">
        <v>18</v>
      </c>
    </row>
    <row r="41" spans="1:29" x14ac:dyDescent="0.25">
      <c r="A41">
        <v>131838655</v>
      </c>
      <c r="B41">
        <v>2031031316</v>
      </c>
      <c r="C41">
        <v>5</v>
      </c>
      <c r="E41" t="s">
        <v>11</v>
      </c>
      <c r="F41" t="s">
        <v>274</v>
      </c>
      <c r="G41">
        <v>4</v>
      </c>
      <c r="H41">
        <v>16</v>
      </c>
      <c r="I41">
        <v>0</v>
      </c>
      <c r="J41">
        <v>4</v>
      </c>
      <c r="K41" t="s">
        <v>66</v>
      </c>
      <c r="L41" s="18">
        <v>0.3125</v>
      </c>
      <c r="M41" t="s">
        <v>66</v>
      </c>
      <c r="N41" s="18">
        <v>0.47916666666666669</v>
      </c>
      <c r="O41" t="s">
        <v>51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22</v>
      </c>
      <c r="AC41">
        <v>18</v>
      </c>
    </row>
    <row r="42" spans="1:29" x14ac:dyDescent="0.25">
      <c r="A42">
        <v>131838656</v>
      </c>
      <c r="B42">
        <v>2031031316</v>
      </c>
      <c r="C42">
        <v>60</v>
      </c>
      <c r="E42" t="s">
        <v>11</v>
      </c>
      <c r="F42" t="s">
        <v>275</v>
      </c>
      <c r="G42">
        <v>4</v>
      </c>
      <c r="H42">
        <v>8</v>
      </c>
      <c r="I42">
        <v>0</v>
      </c>
      <c r="J42">
        <v>2</v>
      </c>
      <c r="K42" t="s">
        <v>64</v>
      </c>
      <c r="L42" s="18">
        <v>0.33333333333333331</v>
      </c>
      <c r="M42" t="s">
        <v>64</v>
      </c>
      <c r="N42" s="18">
        <v>0.41666666666666669</v>
      </c>
      <c r="O42" t="s">
        <v>51</v>
      </c>
      <c r="P42" t="s">
        <v>15</v>
      </c>
      <c r="Q42" t="s">
        <v>14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22</v>
      </c>
      <c r="AC42">
        <v>18</v>
      </c>
    </row>
    <row r="43" spans="1:29" x14ac:dyDescent="0.25">
      <c r="A43">
        <v>132721000</v>
      </c>
      <c r="B43">
        <v>2031172620</v>
      </c>
      <c r="C43">
        <v>50</v>
      </c>
      <c r="E43" t="s">
        <v>11</v>
      </c>
      <c r="F43" t="s">
        <v>276</v>
      </c>
      <c r="G43">
        <v>4</v>
      </c>
      <c r="H43">
        <v>6</v>
      </c>
      <c r="I43">
        <v>0</v>
      </c>
      <c r="J43">
        <v>1.5</v>
      </c>
      <c r="K43" t="s">
        <v>64</v>
      </c>
      <c r="L43" s="18">
        <v>0.66916666666666669</v>
      </c>
      <c r="M43" t="s">
        <v>64</v>
      </c>
      <c r="N43" s="18">
        <v>0.71916666666666662</v>
      </c>
      <c r="O43" t="s">
        <v>21</v>
      </c>
      <c r="P43" t="s">
        <v>15</v>
      </c>
      <c r="Q43" t="s">
        <v>14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22</v>
      </c>
      <c r="AC43">
        <v>18</v>
      </c>
    </row>
    <row r="44" spans="1:29" x14ac:dyDescent="0.25">
      <c r="A44">
        <v>132891122</v>
      </c>
      <c r="B44">
        <v>2031235456</v>
      </c>
      <c r="C44">
        <v>10</v>
      </c>
      <c r="E44" t="s">
        <v>11</v>
      </c>
      <c r="F44" t="s">
        <v>277</v>
      </c>
      <c r="G44">
        <v>4</v>
      </c>
      <c r="H44">
        <v>24</v>
      </c>
      <c r="I44">
        <v>0</v>
      </c>
      <c r="J44">
        <v>6</v>
      </c>
      <c r="K44" t="s">
        <v>66</v>
      </c>
      <c r="L44" s="18">
        <v>0.3125</v>
      </c>
      <c r="M44" t="s">
        <v>66</v>
      </c>
      <c r="N44" s="18">
        <v>0.60416666666666663</v>
      </c>
      <c r="O44" t="s">
        <v>51</v>
      </c>
      <c r="P44" t="s">
        <v>15</v>
      </c>
      <c r="Q44" t="s">
        <v>14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22</v>
      </c>
      <c r="AC44">
        <v>18</v>
      </c>
    </row>
    <row r="45" spans="1:29" x14ac:dyDescent="0.25">
      <c r="A45">
        <v>132982143</v>
      </c>
      <c r="B45">
        <v>2031245430</v>
      </c>
      <c r="C45">
        <v>10</v>
      </c>
      <c r="E45" t="s">
        <v>11</v>
      </c>
      <c r="F45" t="s">
        <v>278</v>
      </c>
      <c r="G45">
        <v>4</v>
      </c>
      <c r="H45">
        <v>24</v>
      </c>
      <c r="I45">
        <v>0</v>
      </c>
      <c r="J45">
        <v>6</v>
      </c>
      <c r="K45" t="s">
        <v>66</v>
      </c>
      <c r="L45" s="18">
        <v>0.3125</v>
      </c>
      <c r="M45" t="s">
        <v>66</v>
      </c>
      <c r="N45" s="18">
        <v>0.60416666666666663</v>
      </c>
      <c r="O45" t="s">
        <v>51</v>
      </c>
      <c r="P45" t="s">
        <v>15</v>
      </c>
      <c r="Q45" t="s">
        <v>14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22</v>
      </c>
      <c r="AC45">
        <v>18</v>
      </c>
    </row>
    <row r="46" spans="1:29" x14ac:dyDescent="0.25">
      <c r="A46">
        <v>133162730</v>
      </c>
      <c r="B46">
        <v>2031273646</v>
      </c>
      <c r="C46">
        <v>5</v>
      </c>
      <c r="E46" t="s">
        <v>11</v>
      </c>
      <c r="F46" t="s">
        <v>279</v>
      </c>
      <c r="G46">
        <v>4</v>
      </c>
      <c r="H46">
        <v>8</v>
      </c>
      <c r="I46">
        <v>0</v>
      </c>
      <c r="J46">
        <v>2</v>
      </c>
      <c r="K46" t="s">
        <v>86</v>
      </c>
      <c r="L46" s="18">
        <v>0.5541666666666667</v>
      </c>
      <c r="M46" t="s">
        <v>86</v>
      </c>
      <c r="N46" s="18">
        <v>0.62083333333333335</v>
      </c>
      <c r="O46" t="s">
        <v>21</v>
      </c>
      <c r="P46" t="s">
        <v>15</v>
      </c>
      <c r="Q46" t="s">
        <v>14</v>
      </c>
      <c r="T46" s="18">
        <v>0</v>
      </c>
      <c r="W46" s="19">
        <v>1</v>
      </c>
      <c r="Y46">
        <v>0</v>
      </c>
      <c r="Z46">
        <v>0</v>
      </c>
      <c r="AA46">
        <v>2</v>
      </c>
      <c r="AB46" t="s">
        <v>22</v>
      </c>
      <c r="AC46">
        <v>18</v>
      </c>
    </row>
    <row r="47" spans="1:29" x14ac:dyDescent="0.25">
      <c r="A47">
        <v>133298286</v>
      </c>
      <c r="B47">
        <v>2031301350</v>
      </c>
      <c r="C47">
        <v>130</v>
      </c>
      <c r="E47" t="s">
        <v>11</v>
      </c>
      <c r="F47" t="s">
        <v>280</v>
      </c>
      <c r="G47">
        <v>4</v>
      </c>
      <c r="H47">
        <v>4</v>
      </c>
      <c r="I47">
        <v>0</v>
      </c>
      <c r="J47">
        <v>1</v>
      </c>
      <c r="K47" t="s">
        <v>78</v>
      </c>
      <c r="L47" s="18">
        <v>0.42916666666666664</v>
      </c>
      <c r="M47" t="s">
        <v>78</v>
      </c>
      <c r="N47" s="18">
        <v>0.46250000000000002</v>
      </c>
      <c r="O47" t="s">
        <v>21</v>
      </c>
      <c r="P47" t="s">
        <v>15</v>
      </c>
      <c r="Q47" t="s">
        <v>14</v>
      </c>
      <c r="T47" s="18">
        <v>0</v>
      </c>
      <c r="W47" s="18">
        <v>0</v>
      </c>
      <c r="Y47">
        <v>0</v>
      </c>
      <c r="Z47">
        <v>0</v>
      </c>
      <c r="AA47">
        <v>2</v>
      </c>
      <c r="AB47" t="s">
        <v>22</v>
      </c>
      <c r="AC47">
        <v>18</v>
      </c>
    </row>
    <row r="48" spans="1:29" x14ac:dyDescent="0.25">
      <c r="A48">
        <v>133306578</v>
      </c>
      <c r="B48">
        <v>2031301351</v>
      </c>
      <c r="C48">
        <v>130</v>
      </c>
      <c r="E48" t="s">
        <v>11</v>
      </c>
      <c r="F48" t="s">
        <v>281</v>
      </c>
      <c r="G48">
        <v>4</v>
      </c>
      <c r="H48">
        <v>4</v>
      </c>
      <c r="I48">
        <v>0</v>
      </c>
      <c r="J48">
        <v>1</v>
      </c>
      <c r="K48" t="s">
        <v>78</v>
      </c>
      <c r="L48" s="18">
        <v>0.46916666666666668</v>
      </c>
      <c r="M48" t="s">
        <v>78</v>
      </c>
      <c r="N48" s="18">
        <v>0.54416666666666669</v>
      </c>
      <c r="O48" t="s">
        <v>282</v>
      </c>
      <c r="P48" t="s">
        <v>15</v>
      </c>
      <c r="Q48" t="s">
        <v>14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22</v>
      </c>
      <c r="AC48">
        <v>18</v>
      </c>
    </row>
    <row r="49" spans="1:29" x14ac:dyDescent="0.25">
      <c r="A49">
        <v>133875996</v>
      </c>
      <c r="B49">
        <v>2031392025</v>
      </c>
      <c r="C49">
        <v>5</v>
      </c>
      <c r="E49" t="s">
        <v>11</v>
      </c>
      <c r="F49" t="s">
        <v>283</v>
      </c>
      <c r="G49">
        <v>4</v>
      </c>
      <c r="H49">
        <v>8</v>
      </c>
      <c r="I49">
        <v>0</v>
      </c>
      <c r="J49">
        <v>2</v>
      </c>
      <c r="K49" t="s">
        <v>66</v>
      </c>
      <c r="L49" s="18">
        <v>0.3125</v>
      </c>
      <c r="M49" t="s">
        <v>66</v>
      </c>
      <c r="N49" s="18">
        <v>0.39583333333333331</v>
      </c>
      <c r="O49" t="s">
        <v>12</v>
      </c>
      <c r="P49" t="s">
        <v>15</v>
      </c>
      <c r="Q49" t="s">
        <v>14</v>
      </c>
      <c r="T49" s="18">
        <v>0</v>
      </c>
      <c r="W49" s="19">
        <v>1</v>
      </c>
      <c r="Y49">
        <v>0</v>
      </c>
      <c r="Z49">
        <v>0</v>
      </c>
      <c r="AB49" t="s">
        <v>22</v>
      </c>
      <c r="AC49">
        <v>18</v>
      </c>
    </row>
    <row r="50" spans="1:29" x14ac:dyDescent="0.25">
      <c r="A50">
        <v>133876001</v>
      </c>
      <c r="B50">
        <v>2031392025</v>
      </c>
      <c r="C50">
        <v>130</v>
      </c>
      <c r="E50" t="s">
        <v>11</v>
      </c>
      <c r="F50" t="s">
        <v>284</v>
      </c>
      <c r="G50">
        <v>4</v>
      </c>
      <c r="H50">
        <v>4</v>
      </c>
      <c r="I50">
        <v>0</v>
      </c>
      <c r="J50">
        <v>1</v>
      </c>
      <c r="K50" t="s">
        <v>78</v>
      </c>
      <c r="L50" s="18">
        <v>0.42083333333333334</v>
      </c>
      <c r="M50" t="s">
        <v>78</v>
      </c>
      <c r="N50" s="18">
        <v>0.46250000000000002</v>
      </c>
      <c r="O50" t="s">
        <v>12</v>
      </c>
      <c r="P50" t="s">
        <v>15</v>
      </c>
      <c r="Q50" t="s">
        <v>14</v>
      </c>
      <c r="T50" s="18">
        <v>0</v>
      </c>
      <c r="W50" s="19">
        <v>1</v>
      </c>
      <c r="Y50">
        <v>0</v>
      </c>
      <c r="Z50">
        <v>0</v>
      </c>
      <c r="AB50" t="s">
        <v>22</v>
      </c>
      <c r="AC50">
        <v>18</v>
      </c>
    </row>
    <row r="51" spans="1:29" x14ac:dyDescent="0.25">
      <c r="A51">
        <v>133876021</v>
      </c>
      <c r="B51">
        <v>2031392166</v>
      </c>
      <c r="C51">
        <v>5</v>
      </c>
      <c r="E51" t="s">
        <v>11</v>
      </c>
      <c r="F51" t="s">
        <v>285</v>
      </c>
      <c r="G51">
        <v>4</v>
      </c>
      <c r="H51">
        <v>8</v>
      </c>
      <c r="I51">
        <v>0</v>
      </c>
      <c r="J51">
        <v>2</v>
      </c>
      <c r="K51" t="s">
        <v>66</v>
      </c>
      <c r="L51" s="18">
        <v>0.3125</v>
      </c>
      <c r="M51" t="s">
        <v>66</v>
      </c>
      <c r="N51" s="18">
        <v>0.39583333333333331</v>
      </c>
      <c r="O51" t="s">
        <v>12</v>
      </c>
      <c r="P51" t="s">
        <v>15</v>
      </c>
      <c r="Q51" t="s">
        <v>14</v>
      </c>
      <c r="T51" s="18">
        <v>0</v>
      </c>
      <c r="W51" s="19">
        <v>1</v>
      </c>
      <c r="Y51">
        <v>0</v>
      </c>
      <c r="Z51">
        <v>0</v>
      </c>
      <c r="AB51" t="s">
        <v>22</v>
      </c>
      <c r="AC51">
        <v>18</v>
      </c>
    </row>
    <row r="52" spans="1:29" x14ac:dyDescent="0.25">
      <c r="A52">
        <v>133876026</v>
      </c>
      <c r="B52">
        <v>2031392166</v>
      </c>
      <c r="C52">
        <v>130</v>
      </c>
      <c r="E52" t="s">
        <v>11</v>
      </c>
      <c r="F52" t="s">
        <v>286</v>
      </c>
      <c r="G52">
        <v>4</v>
      </c>
      <c r="H52">
        <v>4</v>
      </c>
      <c r="I52">
        <v>0</v>
      </c>
      <c r="J52">
        <v>1</v>
      </c>
      <c r="K52" t="s">
        <v>64</v>
      </c>
      <c r="L52" s="18">
        <v>0.67083333333333328</v>
      </c>
      <c r="M52" t="s">
        <v>64</v>
      </c>
      <c r="N52" s="18">
        <v>0.71250000000000002</v>
      </c>
      <c r="O52" t="s">
        <v>12</v>
      </c>
      <c r="P52" t="s">
        <v>15</v>
      </c>
      <c r="Q52" t="s">
        <v>14</v>
      </c>
      <c r="T52" s="18">
        <v>0</v>
      </c>
      <c r="W52" s="19">
        <v>1</v>
      </c>
      <c r="Y52">
        <v>0</v>
      </c>
      <c r="Z52">
        <v>0</v>
      </c>
      <c r="AB52" t="s">
        <v>22</v>
      </c>
      <c r="AC52">
        <v>18</v>
      </c>
    </row>
    <row r="53" spans="1:29" x14ac:dyDescent="0.25">
      <c r="A53">
        <v>133876597</v>
      </c>
      <c r="B53">
        <v>2031392169</v>
      </c>
      <c r="C53">
        <v>130</v>
      </c>
      <c r="E53" t="s">
        <v>11</v>
      </c>
      <c r="F53" t="s">
        <v>287</v>
      </c>
      <c r="G53">
        <v>4</v>
      </c>
      <c r="H53">
        <v>4</v>
      </c>
      <c r="I53">
        <v>0</v>
      </c>
      <c r="J53">
        <v>1</v>
      </c>
      <c r="K53" t="s">
        <v>64</v>
      </c>
      <c r="L53" s="18">
        <v>0.67083333333333328</v>
      </c>
      <c r="M53" t="s">
        <v>64</v>
      </c>
      <c r="N53" s="18">
        <v>0.71250000000000002</v>
      </c>
      <c r="O53" t="s">
        <v>12</v>
      </c>
      <c r="P53" t="s">
        <v>15</v>
      </c>
      <c r="Q53" t="s">
        <v>14</v>
      </c>
      <c r="T53" s="18">
        <v>0</v>
      </c>
      <c r="W53" s="19">
        <v>1</v>
      </c>
      <c r="Y53">
        <v>0</v>
      </c>
      <c r="Z53">
        <v>0</v>
      </c>
      <c r="AB53" t="s">
        <v>22</v>
      </c>
      <c r="AC53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topLeftCell="A2" workbookViewId="0">
      <selection activeCell="AC29" sqref="A29:AC7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499.2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35</v>
      </c>
      <c r="G3">
        <v>2</v>
      </c>
      <c r="H3">
        <v>6</v>
      </c>
      <c r="I3">
        <v>0</v>
      </c>
      <c r="J3">
        <v>3</v>
      </c>
      <c r="K3" t="s">
        <v>66</v>
      </c>
      <c r="L3" s="18">
        <v>0.3125</v>
      </c>
      <c r="M3" t="s">
        <v>66</v>
      </c>
      <c r="N3" s="18">
        <v>0.41249999999999998</v>
      </c>
      <c r="O3" t="s">
        <v>28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19</v>
      </c>
    </row>
    <row r="4" spans="1:29" x14ac:dyDescent="0.25">
      <c r="A4">
        <v>133309905</v>
      </c>
      <c r="B4">
        <v>2027343888</v>
      </c>
      <c r="C4">
        <v>2061</v>
      </c>
      <c r="E4" t="s">
        <v>9</v>
      </c>
      <c r="F4" t="s">
        <v>23</v>
      </c>
      <c r="G4">
        <v>4</v>
      </c>
      <c r="H4">
        <v>32</v>
      </c>
      <c r="I4">
        <v>7.6</v>
      </c>
      <c r="J4">
        <v>8</v>
      </c>
      <c r="K4" t="s">
        <v>64</v>
      </c>
      <c r="L4" s="18">
        <v>0.71250000000000002</v>
      </c>
      <c r="M4" t="s">
        <v>78</v>
      </c>
      <c r="N4" s="18">
        <v>0.55374999999999996</v>
      </c>
      <c r="O4" t="s">
        <v>12</v>
      </c>
      <c r="P4" t="s">
        <v>52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22</v>
      </c>
      <c r="AC4">
        <v>19</v>
      </c>
    </row>
    <row r="5" spans="1:29" x14ac:dyDescent="0.25">
      <c r="A5">
        <v>131610027</v>
      </c>
      <c r="B5">
        <v>2029780007</v>
      </c>
      <c r="C5">
        <v>2405</v>
      </c>
      <c r="E5" t="s">
        <v>9</v>
      </c>
      <c r="F5" t="s">
        <v>24</v>
      </c>
      <c r="G5">
        <v>1</v>
      </c>
      <c r="H5">
        <v>44</v>
      </c>
      <c r="I5">
        <v>0</v>
      </c>
      <c r="J5">
        <v>44</v>
      </c>
      <c r="K5" t="s">
        <v>66</v>
      </c>
      <c r="L5" s="18">
        <v>0</v>
      </c>
      <c r="M5" t="s">
        <v>64</v>
      </c>
      <c r="N5" s="18">
        <v>0.83333333333333337</v>
      </c>
      <c r="O5" t="s">
        <v>12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B5" t="s">
        <v>22</v>
      </c>
      <c r="AC5">
        <v>19</v>
      </c>
    </row>
    <row r="6" spans="1:29" x14ac:dyDescent="0.25">
      <c r="A6">
        <v>133466695</v>
      </c>
      <c r="B6">
        <v>2029900061</v>
      </c>
      <c r="C6">
        <v>690</v>
      </c>
      <c r="D6">
        <v>10</v>
      </c>
      <c r="E6" t="s">
        <v>9</v>
      </c>
      <c r="F6" t="s">
        <v>109</v>
      </c>
      <c r="G6">
        <v>4</v>
      </c>
      <c r="H6">
        <v>176</v>
      </c>
      <c r="I6">
        <v>0</v>
      </c>
      <c r="J6">
        <v>44</v>
      </c>
      <c r="K6" t="s">
        <v>66</v>
      </c>
      <c r="L6" s="18">
        <v>0.37994212962962964</v>
      </c>
      <c r="M6" t="s">
        <v>86</v>
      </c>
      <c r="N6" s="18">
        <v>0.34660879629629632</v>
      </c>
      <c r="O6" t="s">
        <v>12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C6">
        <v>19</v>
      </c>
    </row>
    <row r="7" spans="1:29" x14ac:dyDescent="0.25">
      <c r="A7">
        <v>133466696</v>
      </c>
      <c r="B7">
        <v>2029900061</v>
      </c>
      <c r="C7">
        <v>690</v>
      </c>
      <c r="D7">
        <v>20</v>
      </c>
      <c r="E7" t="s">
        <v>9</v>
      </c>
      <c r="F7" t="s">
        <v>110</v>
      </c>
      <c r="G7">
        <v>1</v>
      </c>
      <c r="H7">
        <v>44</v>
      </c>
      <c r="I7">
        <v>0</v>
      </c>
      <c r="J7">
        <v>44</v>
      </c>
      <c r="K7" t="s">
        <v>66</v>
      </c>
      <c r="L7" s="18">
        <v>0.37994212962962964</v>
      </c>
      <c r="M7" t="s">
        <v>86</v>
      </c>
      <c r="N7" s="18">
        <v>0.34660879629629632</v>
      </c>
      <c r="O7" t="s">
        <v>12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C7">
        <v>19</v>
      </c>
    </row>
    <row r="8" spans="1:29" x14ac:dyDescent="0.25">
      <c r="A8">
        <v>125755004</v>
      </c>
      <c r="B8">
        <v>2030095757</v>
      </c>
      <c r="C8">
        <v>290</v>
      </c>
      <c r="D8">
        <v>10</v>
      </c>
      <c r="E8" t="s">
        <v>9</v>
      </c>
      <c r="F8" t="s">
        <v>111</v>
      </c>
      <c r="G8">
        <v>2</v>
      </c>
      <c r="H8">
        <v>6</v>
      </c>
      <c r="I8">
        <v>0</v>
      </c>
      <c r="J8">
        <v>3</v>
      </c>
      <c r="K8" t="s">
        <v>78</v>
      </c>
      <c r="L8" s="18">
        <v>0.70416666666666672</v>
      </c>
      <c r="M8" t="s">
        <v>88</v>
      </c>
      <c r="N8" s="18">
        <v>0.38750000000000001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22</v>
      </c>
      <c r="AC8">
        <v>19</v>
      </c>
    </row>
    <row r="9" spans="1:29" x14ac:dyDescent="0.25">
      <c r="A9">
        <v>133882152</v>
      </c>
      <c r="B9">
        <v>2030095757</v>
      </c>
      <c r="C9">
        <v>245</v>
      </c>
      <c r="E9" t="s">
        <v>9</v>
      </c>
      <c r="F9" t="s">
        <v>112</v>
      </c>
      <c r="G9">
        <v>2</v>
      </c>
      <c r="H9">
        <v>16</v>
      </c>
      <c r="I9">
        <v>0</v>
      </c>
      <c r="J9">
        <v>8</v>
      </c>
      <c r="K9" t="s">
        <v>78</v>
      </c>
      <c r="L9" s="18">
        <v>0.34583333333333333</v>
      </c>
      <c r="M9" t="s">
        <v>78</v>
      </c>
      <c r="N9" s="18">
        <v>0.65416666666666667</v>
      </c>
      <c r="O9" t="s">
        <v>12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22</v>
      </c>
      <c r="AC9">
        <v>19</v>
      </c>
    </row>
    <row r="10" spans="1:29" x14ac:dyDescent="0.25">
      <c r="A10">
        <v>129114476</v>
      </c>
      <c r="B10">
        <v>2030693482</v>
      </c>
      <c r="C10">
        <v>110</v>
      </c>
      <c r="E10" t="s">
        <v>9</v>
      </c>
      <c r="F10" t="s">
        <v>113</v>
      </c>
      <c r="G10">
        <v>2</v>
      </c>
      <c r="H10">
        <v>8</v>
      </c>
      <c r="I10">
        <v>0</v>
      </c>
      <c r="J10">
        <v>4</v>
      </c>
      <c r="K10" t="s">
        <v>66</v>
      </c>
      <c r="L10" s="18">
        <v>0.66666666666666663</v>
      </c>
      <c r="M10" t="s">
        <v>66</v>
      </c>
      <c r="N10" s="18">
        <v>0.83333333333333337</v>
      </c>
      <c r="O10" t="s">
        <v>54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C10">
        <v>19</v>
      </c>
    </row>
    <row r="11" spans="1:29" x14ac:dyDescent="0.25">
      <c r="A11">
        <v>129114480</v>
      </c>
      <c r="B11">
        <v>2030693482</v>
      </c>
      <c r="C11">
        <v>120</v>
      </c>
      <c r="E11" t="s">
        <v>9</v>
      </c>
      <c r="F11" t="s">
        <v>114</v>
      </c>
      <c r="G11">
        <v>2</v>
      </c>
      <c r="H11">
        <v>6</v>
      </c>
      <c r="I11">
        <v>0</v>
      </c>
      <c r="J11">
        <v>3</v>
      </c>
      <c r="K11" t="s">
        <v>66</v>
      </c>
      <c r="L11" s="18">
        <v>0.83333333333333337</v>
      </c>
      <c r="M11" t="s">
        <v>66</v>
      </c>
      <c r="N11" s="18">
        <v>0.95833333333333337</v>
      </c>
      <c r="O11" t="s">
        <v>54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129114500</v>
      </c>
      <c r="B12">
        <v>2030693482</v>
      </c>
      <c r="C12">
        <v>240</v>
      </c>
      <c r="E12" t="s">
        <v>9</v>
      </c>
      <c r="F12" t="s">
        <v>115</v>
      </c>
      <c r="G12">
        <v>2</v>
      </c>
      <c r="H12">
        <v>2</v>
      </c>
      <c r="I12">
        <v>0</v>
      </c>
      <c r="J12">
        <v>1</v>
      </c>
      <c r="K12" t="s">
        <v>64</v>
      </c>
      <c r="L12" s="18">
        <v>0.66666666666666663</v>
      </c>
      <c r="M12" t="s">
        <v>64</v>
      </c>
      <c r="N12" s="18">
        <v>0.70833333333333337</v>
      </c>
      <c r="O12" t="s">
        <v>54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133883108</v>
      </c>
      <c r="B13">
        <v>2030707856</v>
      </c>
      <c r="C13">
        <v>250</v>
      </c>
      <c r="E13" t="s">
        <v>9</v>
      </c>
      <c r="F13" t="s">
        <v>26</v>
      </c>
      <c r="G13">
        <v>2</v>
      </c>
      <c r="H13">
        <v>4</v>
      </c>
      <c r="I13">
        <v>0</v>
      </c>
      <c r="J13">
        <v>2</v>
      </c>
      <c r="K13" t="s">
        <v>66</v>
      </c>
      <c r="L13" s="18">
        <v>0.3125</v>
      </c>
      <c r="M13" t="s">
        <v>66</v>
      </c>
      <c r="N13" s="18">
        <v>0.37916666666666665</v>
      </c>
      <c r="O13" t="s">
        <v>12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19</v>
      </c>
    </row>
    <row r="14" spans="1:29" x14ac:dyDescent="0.25">
      <c r="A14">
        <v>133883114</v>
      </c>
      <c r="B14">
        <v>2030707957</v>
      </c>
      <c r="C14">
        <v>170</v>
      </c>
      <c r="E14" t="s">
        <v>9</v>
      </c>
      <c r="F14" t="s">
        <v>27</v>
      </c>
      <c r="G14">
        <v>2</v>
      </c>
      <c r="H14">
        <v>4</v>
      </c>
      <c r="I14">
        <v>0</v>
      </c>
      <c r="J14">
        <v>2</v>
      </c>
      <c r="K14" t="s">
        <v>66</v>
      </c>
      <c r="L14" s="18">
        <v>0.3125</v>
      </c>
      <c r="M14" t="s">
        <v>66</v>
      </c>
      <c r="N14" s="18">
        <v>0.37916666666666665</v>
      </c>
      <c r="O14" t="s">
        <v>12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C14">
        <v>19</v>
      </c>
    </row>
    <row r="15" spans="1:29" x14ac:dyDescent="0.25">
      <c r="A15">
        <v>129384868</v>
      </c>
      <c r="B15">
        <v>2030766268</v>
      </c>
      <c r="C15">
        <v>20</v>
      </c>
      <c r="E15" t="s">
        <v>9</v>
      </c>
      <c r="F15" t="s">
        <v>25</v>
      </c>
      <c r="G15">
        <v>2</v>
      </c>
      <c r="H15">
        <v>8</v>
      </c>
      <c r="I15">
        <v>0</v>
      </c>
      <c r="J15">
        <v>4</v>
      </c>
      <c r="K15" t="s">
        <v>66</v>
      </c>
      <c r="L15" s="18">
        <v>0.44583333333333336</v>
      </c>
      <c r="M15" t="s">
        <v>66</v>
      </c>
      <c r="N15" s="18">
        <v>0.62083333333333335</v>
      </c>
      <c r="O15" t="s">
        <v>12</v>
      </c>
      <c r="P15" t="s">
        <v>15</v>
      </c>
      <c r="Q15" t="s">
        <v>14</v>
      </c>
      <c r="T15" s="18">
        <v>0</v>
      </c>
      <c r="W15" s="19">
        <v>1</v>
      </c>
      <c r="Y15">
        <v>0</v>
      </c>
      <c r="Z15">
        <v>0</v>
      </c>
      <c r="AC15">
        <v>19</v>
      </c>
    </row>
    <row r="16" spans="1:29" x14ac:dyDescent="0.25">
      <c r="A16">
        <v>131350059</v>
      </c>
      <c r="B16">
        <v>2030853726</v>
      </c>
      <c r="C16">
        <v>431</v>
      </c>
      <c r="E16" t="s">
        <v>9</v>
      </c>
      <c r="F16" t="s">
        <v>116</v>
      </c>
      <c r="G16">
        <v>2</v>
      </c>
      <c r="H16">
        <v>4</v>
      </c>
      <c r="I16">
        <v>0</v>
      </c>
      <c r="J16">
        <v>2</v>
      </c>
      <c r="K16" t="s">
        <v>66</v>
      </c>
      <c r="L16" s="18">
        <v>0.44583333333333336</v>
      </c>
      <c r="M16" t="s">
        <v>66</v>
      </c>
      <c r="N16" s="18">
        <v>0.5541666666666667</v>
      </c>
      <c r="O16" t="s">
        <v>12</v>
      </c>
      <c r="P16" t="s">
        <v>13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B16" t="s">
        <v>22</v>
      </c>
      <c r="AC16">
        <v>19</v>
      </c>
    </row>
    <row r="17" spans="1:29" x14ac:dyDescent="0.25">
      <c r="A17">
        <v>130849499</v>
      </c>
      <c r="B17">
        <v>2030965631</v>
      </c>
      <c r="C17">
        <v>10</v>
      </c>
      <c r="E17" t="s">
        <v>9</v>
      </c>
      <c r="F17" t="s">
        <v>117</v>
      </c>
      <c r="G17">
        <v>2</v>
      </c>
      <c r="H17">
        <v>6</v>
      </c>
      <c r="I17">
        <v>0</v>
      </c>
      <c r="J17">
        <v>3</v>
      </c>
      <c r="K17" t="s">
        <v>78</v>
      </c>
      <c r="L17" s="18">
        <v>0.55374999999999996</v>
      </c>
      <c r="M17" t="s">
        <v>78</v>
      </c>
      <c r="N17" s="18">
        <v>0.65375000000000005</v>
      </c>
      <c r="O17" t="s">
        <v>18</v>
      </c>
      <c r="P17" t="s">
        <v>15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B17" t="s">
        <v>22</v>
      </c>
      <c r="AC17">
        <v>19</v>
      </c>
    </row>
    <row r="18" spans="1:29" x14ac:dyDescent="0.25">
      <c r="A18">
        <v>131422155</v>
      </c>
      <c r="B18">
        <v>2030965631</v>
      </c>
      <c r="C18">
        <v>20</v>
      </c>
      <c r="E18" t="s">
        <v>9</v>
      </c>
      <c r="F18" t="s">
        <v>118</v>
      </c>
      <c r="G18">
        <v>1</v>
      </c>
      <c r="H18">
        <v>0.2</v>
      </c>
      <c r="I18">
        <v>0</v>
      </c>
      <c r="J18">
        <v>0.2</v>
      </c>
      <c r="K18" t="s">
        <v>78</v>
      </c>
      <c r="L18" s="18">
        <v>0.65375000000000005</v>
      </c>
      <c r="M18" t="s">
        <v>78</v>
      </c>
      <c r="N18" s="18">
        <v>0.66041666666666665</v>
      </c>
      <c r="O18" t="s">
        <v>12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B18" t="s">
        <v>22</v>
      </c>
      <c r="AC18">
        <v>19</v>
      </c>
    </row>
    <row r="19" spans="1:29" x14ac:dyDescent="0.25">
      <c r="A19">
        <v>133883107</v>
      </c>
      <c r="B19">
        <v>2031111330</v>
      </c>
      <c r="C19">
        <v>240</v>
      </c>
      <c r="D19">
        <v>30</v>
      </c>
      <c r="E19" t="s">
        <v>9</v>
      </c>
      <c r="F19" t="s">
        <v>29</v>
      </c>
      <c r="G19">
        <v>2</v>
      </c>
      <c r="H19">
        <v>2</v>
      </c>
      <c r="I19">
        <v>0</v>
      </c>
      <c r="J19">
        <v>1</v>
      </c>
      <c r="K19" t="s">
        <v>88</v>
      </c>
      <c r="L19" s="18">
        <v>0.71253472222222225</v>
      </c>
      <c r="M19" t="s">
        <v>86</v>
      </c>
      <c r="N19" s="18">
        <v>0.32920138888888889</v>
      </c>
      <c r="O19" t="s">
        <v>12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22</v>
      </c>
      <c r="AC19">
        <v>19</v>
      </c>
    </row>
    <row r="20" spans="1:29" x14ac:dyDescent="0.25">
      <c r="A20">
        <v>133883103</v>
      </c>
      <c r="B20">
        <v>2031111330</v>
      </c>
      <c r="C20">
        <v>230</v>
      </c>
      <c r="E20" t="s">
        <v>9</v>
      </c>
      <c r="F20" t="s">
        <v>30</v>
      </c>
      <c r="G20">
        <v>3</v>
      </c>
      <c r="H20">
        <v>18</v>
      </c>
      <c r="I20">
        <v>0</v>
      </c>
      <c r="J20">
        <v>6</v>
      </c>
      <c r="K20" t="s">
        <v>78</v>
      </c>
      <c r="L20" s="18">
        <v>0.72083333333333333</v>
      </c>
      <c r="M20" t="s">
        <v>88</v>
      </c>
      <c r="N20" s="18">
        <v>0.54583333333333328</v>
      </c>
      <c r="O20" t="s">
        <v>12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19</v>
      </c>
    </row>
    <row r="21" spans="1:29" x14ac:dyDescent="0.25">
      <c r="A21">
        <v>132124180</v>
      </c>
      <c r="B21">
        <v>2031111898</v>
      </c>
      <c r="C21">
        <v>290</v>
      </c>
      <c r="E21" t="s">
        <v>9</v>
      </c>
      <c r="F21" t="s">
        <v>119</v>
      </c>
      <c r="G21">
        <v>2</v>
      </c>
      <c r="H21">
        <v>4</v>
      </c>
      <c r="I21">
        <v>0</v>
      </c>
      <c r="J21">
        <v>2</v>
      </c>
      <c r="K21" t="s">
        <v>66</v>
      </c>
      <c r="L21" s="18">
        <v>0.3125</v>
      </c>
      <c r="M21" t="s">
        <v>66</v>
      </c>
      <c r="N21" s="18">
        <v>0.39583333333333331</v>
      </c>
      <c r="O21" t="s">
        <v>12</v>
      </c>
      <c r="P21" t="s">
        <v>15</v>
      </c>
      <c r="Q21" t="s">
        <v>14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132553341</v>
      </c>
      <c r="B22">
        <v>2031153559</v>
      </c>
      <c r="C22">
        <v>50</v>
      </c>
      <c r="D22">
        <v>10</v>
      </c>
      <c r="E22" t="s">
        <v>9</v>
      </c>
      <c r="F22" t="s">
        <v>120</v>
      </c>
      <c r="G22">
        <v>2</v>
      </c>
      <c r="H22">
        <v>9</v>
      </c>
      <c r="I22">
        <v>0</v>
      </c>
      <c r="J22">
        <v>4.5</v>
      </c>
      <c r="K22" t="s">
        <v>66</v>
      </c>
      <c r="L22" s="18">
        <v>0.65416666666666667</v>
      </c>
      <c r="M22" t="s">
        <v>64</v>
      </c>
      <c r="N22" s="18">
        <v>0.38750000000000001</v>
      </c>
      <c r="O22" t="s">
        <v>12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B22" t="s">
        <v>22</v>
      </c>
      <c r="AC22">
        <v>19</v>
      </c>
    </row>
    <row r="23" spans="1:29" x14ac:dyDescent="0.25">
      <c r="A23">
        <v>132553349</v>
      </c>
      <c r="B23">
        <v>2031153559</v>
      </c>
      <c r="C23">
        <v>150</v>
      </c>
      <c r="D23">
        <v>10</v>
      </c>
      <c r="E23" t="s">
        <v>9</v>
      </c>
      <c r="F23" t="s">
        <v>121</v>
      </c>
      <c r="G23">
        <v>4</v>
      </c>
      <c r="H23">
        <v>18</v>
      </c>
      <c r="I23">
        <v>0</v>
      </c>
      <c r="J23">
        <v>4.5</v>
      </c>
      <c r="K23" t="s">
        <v>64</v>
      </c>
      <c r="L23" s="18">
        <v>0.5625</v>
      </c>
      <c r="M23" t="s">
        <v>64</v>
      </c>
      <c r="N23" s="18">
        <v>0.71250000000000002</v>
      </c>
      <c r="O23" t="s">
        <v>12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B23" t="s">
        <v>22</v>
      </c>
      <c r="AC23">
        <v>19</v>
      </c>
    </row>
    <row r="24" spans="1:29" x14ac:dyDescent="0.25">
      <c r="A24">
        <v>132553342</v>
      </c>
      <c r="B24">
        <v>2031153559</v>
      </c>
      <c r="C24">
        <v>130</v>
      </c>
      <c r="E24" t="s">
        <v>9</v>
      </c>
      <c r="F24" t="s">
        <v>122</v>
      </c>
      <c r="G24">
        <v>2</v>
      </c>
      <c r="H24">
        <v>2</v>
      </c>
      <c r="I24">
        <v>0</v>
      </c>
      <c r="J24">
        <v>1</v>
      </c>
      <c r="K24" t="s">
        <v>64</v>
      </c>
      <c r="L24" s="18">
        <v>0.38750000000000001</v>
      </c>
      <c r="M24" t="s">
        <v>64</v>
      </c>
      <c r="N24" s="18">
        <v>0.42083333333333334</v>
      </c>
      <c r="O24" t="s">
        <v>12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B24" t="s">
        <v>22</v>
      </c>
      <c r="AC24">
        <v>19</v>
      </c>
    </row>
    <row r="25" spans="1:29" x14ac:dyDescent="0.25">
      <c r="A25">
        <v>132553351</v>
      </c>
      <c r="B25">
        <v>2031153559</v>
      </c>
      <c r="C25">
        <v>190</v>
      </c>
      <c r="E25" t="s">
        <v>9</v>
      </c>
      <c r="F25" t="s">
        <v>123</v>
      </c>
      <c r="G25">
        <v>2</v>
      </c>
      <c r="H25">
        <v>6</v>
      </c>
      <c r="I25">
        <v>0</v>
      </c>
      <c r="J25">
        <v>3</v>
      </c>
      <c r="K25" t="s">
        <v>64</v>
      </c>
      <c r="L25" s="18">
        <v>0.71250000000000002</v>
      </c>
      <c r="M25" t="s">
        <v>78</v>
      </c>
      <c r="N25" s="18">
        <v>0.39583333333333331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B25" t="s">
        <v>22</v>
      </c>
      <c r="AC25">
        <v>19</v>
      </c>
    </row>
    <row r="26" spans="1:29" x14ac:dyDescent="0.25">
      <c r="A26">
        <v>132553352</v>
      </c>
      <c r="B26">
        <v>2031153559</v>
      </c>
      <c r="C26">
        <v>200</v>
      </c>
      <c r="E26" t="s">
        <v>9</v>
      </c>
      <c r="F26" t="s">
        <v>124</v>
      </c>
      <c r="G26">
        <v>2</v>
      </c>
      <c r="H26">
        <v>2</v>
      </c>
      <c r="I26">
        <v>0</v>
      </c>
      <c r="J26">
        <v>1</v>
      </c>
      <c r="K26" t="s">
        <v>78</v>
      </c>
      <c r="L26" s="18">
        <v>0.39583333333333331</v>
      </c>
      <c r="M26" t="s">
        <v>78</v>
      </c>
      <c r="N26" s="18">
        <v>0.42916666666666664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B26" t="s">
        <v>22</v>
      </c>
      <c r="AC26">
        <v>19</v>
      </c>
    </row>
    <row r="27" spans="1:29" x14ac:dyDescent="0.25">
      <c r="A27">
        <v>133083734</v>
      </c>
      <c r="B27">
        <v>2031260876</v>
      </c>
      <c r="C27">
        <v>10</v>
      </c>
      <c r="E27" t="s">
        <v>9</v>
      </c>
      <c r="F27" t="s">
        <v>33</v>
      </c>
      <c r="G27">
        <v>2</v>
      </c>
      <c r="H27">
        <v>16</v>
      </c>
      <c r="I27">
        <v>0</v>
      </c>
      <c r="J27">
        <v>8</v>
      </c>
      <c r="K27" t="s">
        <v>78</v>
      </c>
      <c r="L27" s="18">
        <v>0.47916666666666669</v>
      </c>
      <c r="M27" t="s">
        <v>88</v>
      </c>
      <c r="N27" s="18">
        <v>0.37083333333333335</v>
      </c>
      <c r="O27" t="s">
        <v>18</v>
      </c>
      <c r="P27" t="s">
        <v>15</v>
      </c>
      <c r="Q27" t="s">
        <v>14</v>
      </c>
      <c r="T27" s="18">
        <v>0</v>
      </c>
      <c r="W27" s="19">
        <v>1</v>
      </c>
      <c r="X27" t="s">
        <v>31</v>
      </c>
      <c r="Y27">
        <v>0</v>
      </c>
      <c r="Z27">
        <v>0</v>
      </c>
      <c r="AC27">
        <v>19</v>
      </c>
    </row>
    <row r="28" spans="1:29" x14ac:dyDescent="0.25">
      <c r="A28">
        <v>133083741</v>
      </c>
      <c r="B28">
        <v>2031260876</v>
      </c>
      <c r="C28">
        <v>20</v>
      </c>
      <c r="E28" t="s">
        <v>9</v>
      </c>
      <c r="F28" t="s">
        <v>32</v>
      </c>
      <c r="G28">
        <v>2</v>
      </c>
      <c r="H28">
        <v>56</v>
      </c>
      <c r="I28">
        <v>0</v>
      </c>
      <c r="J28">
        <v>28</v>
      </c>
      <c r="K28" t="s">
        <v>88</v>
      </c>
      <c r="L28" s="18">
        <v>0.37083333333333335</v>
      </c>
      <c r="M28" t="s">
        <v>125</v>
      </c>
      <c r="N28" s="18">
        <v>0.63749999999999996</v>
      </c>
      <c r="O28" t="s">
        <v>18</v>
      </c>
      <c r="P28" t="s">
        <v>15</v>
      </c>
      <c r="Q28" t="s">
        <v>14</v>
      </c>
      <c r="T28" s="18">
        <v>0</v>
      </c>
      <c r="W28" s="18">
        <v>1</v>
      </c>
      <c r="X28" t="s">
        <v>31</v>
      </c>
      <c r="Y28">
        <v>0</v>
      </c>
      <c r="Z28">
        <v>0</v>
      </c>
      <c r="AC28">
        <v>19</v>
      </c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9"/>
    </row>
    <row r="32" spans="1:29" x14ac:dyDescent="0.25">
      <c r="L32" s="18"/>
      <c r="N32" s="18"/>
      <c r="T32" s="18"/>
      <c r="W32" s="19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46" workbookViewId="0">
      <selection activeCell="A73" sqref="A73:AQ103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471.49999999999994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132419221</v>
      </c>
      <c r="B3">
        <v>2023995825</v>
      </c>
      <c r="C3">
        <v>630</v>
      </c>
      <c r="E3" t="s">
        <v>10</v>
      </c>
      <c r="F3" t="s">
        <v>177</v>
      </c>
      <c r="G3">
        <v>1</v>
      </c>
      <c r="H3">
        <v>0.2</v>
      </c>
      <c r="I3">
        <v>0</v>
      </c>
      <c r="J3">
        <v>0.2</v>
      </c>
      <c r="K3" t="s">
        <v>64</v>
      </c>
      <c r="L3" s="18">
        <v>0.3775</v>
      </c>
      <c r="M3" t="s">
        <v>64</v>
      </c>
      <c r="N3" s="18">
        <v>0.38416666666666666</v>
      </c>
      <c r="O3" t="s">
        <v>16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22</v>
      </c>
      <c r="AC3">
        <v>19</v>
      </c>
    </row>
    <row r="4" spans="1:29" x14ac:dyDescent="0.25">
      <c r="A4">
        <v>107875664</v>
      </c>
      <c r="B4">
        <v>2027174131</v>
      </c>
      <c r="C4">
        <v>100</v>
      </c>
      <c r="E4" t="s">
        <v>10</v>
      </c>
      <c r="F4" t="s">
        <v>178</v>
      </c>
      <c r="G4">
        <v>4</v>
      </c>
      <c r="H4">
        <v>96</v>
      </c>
      <c r="I4">
        <v>0</v>
      </c>
      <c r="J4">
        <v>24</v>
      </c>
      <c r="K4" t="s">
        <v>78</v>
      </c>
      <c r="L4" s="18">
        <v>0.42916666666666664</v>
      </c>
      <c r="M4" t="s">
        <v>86</v>
      </c>
      <c r="N4" s="18">
        <v>0.47916666666666669</v>
      </c>
      <c r="O4" t="s">
        <v>54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19</v>
      </c>
    </row>
    <row r="5" spans="1:29" x14ac:dyDescent="0.25">
      <c r="A5">
        <v>120817322</v>
      </c>
      <c r="B5">
        <v>2027174131</v>
      </c>
      <c r="C5">
        <v>110</v>
      </c>
      <c r="E5" t="s">
        <v>10</v>
      </c>
      <c r="F5" t="s">
        <v>53</v>
      </c>
      <c r="G5">
        <v>1</v>
      </c>
      <c r="H5">
        <v>0.2</v>
      </c>
      <c r="I5">
        <v>0</v>
      </c>
      <c r="J5">
        <v>0.2</v>
      </c>
      <c r="K5" t="s">
        <v>86</v>
      </c>
      <c r="L5" s="18">
        <v>0.58750000000000002</v>
      </c>
      <c r="M5" t="s">
        <v>86</v>
      </c>
      <c r="N5" s="18">
        <v>0.59416666666666662</v>
      </c>
      <c r="O5" t="s">
        <v>12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19</v>
      </c>
    </row>
    <row r="6" spans="1:29" x14ac:dyDescent="0.25">
      <c r="A6">
        <v>117749497</v>
      </c>
      <c r="B6">
        <v>2028854655</v>
      </c>
      <c r="C6">
        <v>150</v>
      </c>
      <c r="E6" t="s">
        <v>10</v>
      </c>
      <c r="F6" t="s">
        <v>179</v>
      </c>
      <c r="G6">
        <v>1</v>
      </c>
      <c r="H6">
        <v>0.2</v>
      </c>
      <c r="I6">
        <v>0</v>
      </c>
      <c r="J6">
        <v>0.2</v>
      </c>
      <c r="K6" t="s">
        <v>64</v>
      </c>
      <c r="L6" s="18">
        <v>0.6791666666666667</v>
      </c>
      <c r="M6" t="s">
        <v>64</v>
      </c>
      <c r="N6" s="18">
        <v>0.68583333333333329</v>
      </c>
      <c r="O6" t="s">
        <v>12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22</v>
      </c>
      <c r="AC6">
        <v>19</v>
      </c>
    </row>
    <row r="7" spans="1:29" x14ac:dyDescent="0.25">
      <c r="A7">
        <v>122497725</v>
      </c>
      <c r="B7">
        <v>2029225187</v>
      </c>
      <c r="C7">
        <v>90</v>
      </c>
      <c r="E7" t="s">
        <v>10</v>
      </c>
      <c r="F7" t="s">
        <v>180</v>
      </c>
      <c r="G7">
        <v>2</v>
      </c>
      <c r="H7">
        <v>8</v>
      </c>
      <c r="I7">
        <v>0</v>
      </c>
      <c r="J7">
        <v>4</v>
      </c>
      <c r="K7" t="s">
        <v>66</v>
      </c>
      <c r="L7" s="18">
        <v>0.39583333333333331</v>
      </c>
      <c r="M7" t="s">
        <v>66</v>
      </c>
      <c r="N7" s="18">
        <v>0.60416666666666663</v>
      </c>
      <c r="O7" t="s">
        <v>12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22</v>
      </c>
      <c r="AC7">
        <v>19</v>
      </c>
    </row>
    <row r="8" spans="1:29" x14ac:dyDescent="0.25">
      <c r="A8">
        <v>122497731</v>
      </c>
      <c r="B8">
        <v>2029488812</v>
      </c>
      <c r="C8">
        <v>40</v>
      </c>
      <c r="E8" t="s">
        <v>10</v>
      </c>
      <c r="F8" t="s">
        <v>181</v>
      </c>
      <c r="G8">
        <v>2</v>
      </c>
      <c r="H8">
        <v>8</v>
      </c>
      <c r="I8">
        <v>0</v>
      </c>
      <c r="J8">
        <v>4</v>
      </c>
      <c r="K8" t="s">
        <v>66</v>
      </c>
      <c r="L8" s="18">
        <v>0.39583333333333331</v>
      </c>
      <c r="M8" t="s">
        <v>66</v>
      </c>
      <c r="N8" s="18">
        <v>0.60416666666666663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22</v>
      </c>
      <c r="AC8">
        <v>19</v>
      </c>
    </row>
    <row r="9" spans="1:29" x14ac:dyDescent="0.25">
      <c r="A9">
        <v>122072714</v>
      </c>
      <c r="B9">
        <v>2029587443</v>
      </c>
      <c r="C9">
        <v>100</v>
      </c>
      <c r="E9" t="s">
        <v>10</v>
      </c>
      <c r="F9" t="s">
        <v>182</v>
      </c>
      <c r="G9">
        <v>2</v>
      </c>
      <c r="H9">
        <v>6</v>
      </c>
      <c r="I9">
        <v>0</v>
      </c>
      <c r="J9">
        <v>3</v>
      </c>
      <c r="K9" t="s">
        <v>66</v>
      </c>
      <c r="L9" s="18">
        <v>0.3125</v>
      </c>
      <c r="M9" t="s">
        <v>66</v>
      </c>
      <c r="N9" s="18">
        <v>0.4375</v>
      </c>
      <c r="O9" t="s">
        <v>54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22</v>
      </c>
      <c r="AC9">
        <v>19</v>
      </c>
    </row>
    <row r="10" spans="1:29" x14ac:dyDescent="0.25">
      <c r="A10">
        <v>122072716</v>
      </c>
      <c r="B10">
        <v>2029587443</v>
      </c>
      <c r="C10">
        <v>120</v>
      </c>
      <c r="E10" t="s">
        <v>10</v>
      </c>
      <c r="F10" t="s">
        <v>183</v>
      </c>
      <c r="G10">
        <v>1</v>
      </c>
      <c r="H10">
        <v>0.2</v>
      </c>
      <c r="I10">
        <v>0</v>
      </c>
      <c r="J10">
        <v>0.2</v>
      </c>
      <c r="K10" t="s">
        <v>66</v>
      </c>
      <c r="L10" s="18">
        <v>0.5625</v>
      </c>
      <c r="M10" t="s">
        <v>66</v>
      </c>
      <c r="N10" s="18">
        <v>0.5708333333333333</v>
      </c>
      <c r="O10" t="s">
        <v>16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22</v>
      </c>
      <c r="AC10">
        <v>19</v>
      </c>
    </row>
    <row r="11" spans="1:29" x14ac:dyDescent="0.25">
      <c r="A11">
        <v>131279064</v>
      </c>
      <c r="B11">
        <v>2029880370</v>
      </c>
      <c r="C11">
        <v>40</v>
      </c>
      <c r="E11" t="s">
        <v>10</v>
      </c>
      <c r="F11" t="s">
        <v>184</v>
      </c>
      <c r="G11">
        <v>2</v>
      </c>
      <c r="H11">
        <v>8</v>
      </c>
      <c r="I11">
        <v>0</v>
      </c>
      <c r="J11">
        <v>4</v>
      </c>
      <c r="K11" t="s">
        <v>64</v>
      </c>
      <c r="L11" s="18">
        <v>0.55249999999999999</v>
      </c>
      <c r="M11" t="s">
        <v>64</v>
      </c>
      <c r="N11" s="18">
        <v>0.68583333333333329</v>
      </c>
      <c r="O11" t="s">
        <v>54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B11" t="s">
        <v>22</v>
      </c>
      <c r="AC11">
        <v>19</v>
      </c>
    </row>
    <row r="12" spans="1:29" x14ac:dyDescent="0.25">
      <c r="A12">
        <v>133866008</v>
      </c>
      <c r="B12">
        <v>2029880370</v>
      </c>
      <c r="C12">
        <v>45</v>
      </c>
      <c r="E12" t="s">
        <v>10</v>
      </c>
      <c r="F12" t="s">
        <v>185</v>
      </c>
      <c r="G12">
        <v>2</v>
      </c>
      <c r="H12">
        <v>10</v>
      </c>
      <c r="I12">
        <v>0</v>
      </c>
      <c r="J12">
        <v>5</v>
      </c>
      <c r="K12" t="s">
        <v>64</v>
      </c>
      <c r="L12" s="18">
        <v>0.68583333333333329</v>
      </c>
      <c r="M12" t="s">
        <v>78</v>
      </c>
      <c r="N12" s="18">
        <v>0.43583333333333335</v>
      </c>
      <c r="O12" t="s">
        <v>12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B12" t="s">
        <v>22</v>
      </c>
      <c r="AC12">
        <v>19</v>
      </c>
    </row>
    <row r="13" spans="1:29" x14ac:dyDescent="0.25">
      <c r="A13">
        <v>131279067</v>
      </c>
      <c r="B13">
        <v>2029880370</v>
      </c>
      <c r="C13">
        <v>70</v>
      </c>
      <c r="E13" t="s">
        <v>10</v>
      </c>
      <c r="F13" t="s">
        <v>186</v>
      </c>
      <c r="G13">
        <v>2</v>
      </c>
      <c r="H13">
        <v>6</v>
      </c>
      <c r="I13">
        <v>0</v>
      </c>
      <c r="J13">
        <v>3</v>
      </c>
      <c r="K13" t="s">
        <v>78</v>
      </c>
      <c r="L13" s="18">
        <v>0.54416666666666669</v>
      </c>
      <c r="M13" t="s">
        <v>78</v>
      </c>
      <c r="N13" s="18">
        <v>0.64416666666666667</v>
      </c>
      <c r="O13" t="s">
        <v>54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B13" t="s">
        <v>22</v>
      </c>
      <c r="AC13">
        <v>19</v>
      </c>
    </row>
    <row r="14" spans="1:29" x14ac:dyDescent="0.25">
      <c r="A14">
        <v>123563573</v>
      </c>
      <c r="B14">
        <v>2029880370</v>
      </c>
      <c r="C14">
        <v>80</v>
      </c>
      <c r="E14" t="s">
        <v>10</v>
      </c>
      <c r="F14" t="s">
        <v>187</v>
      </c>
      <c r="G14">
        <v>1</v>
      </c>
      <c r="H14">
        <v>0.2</v>
      </c>
      <c r="I14">
        <v>0</v>
      </c>
      <c r="J14">
        <v>0.2</v>
      </c>
      <c r="K14" t="s">
        <v>78</v>
      </c>
      <c r="L14" s="18">
        <v>0.64416666666666667</v>
      </c>
      <c r="M14" t="s">
        <v>78</v>
      </c>
      <c r="N14" s="18">
        <v>0.65083333333333337</v>
      </c>
      <c r="O14" t="s">
        <v>16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B14" t="s">
        <v>22</v>
      </c>
      <c r="AC14">
        <v>19</v>
      </c>
    </row>
    <row r="15" spans="1:29" x14ac:dyDescent="0.25">
      <c r="A15">
        <v>123616461</v>
      </c>
      <c r="B15">
        <v>2029888967</v>
      </c>
      <c r="C15">
        <v>90</v>
      </c>
      <c r="E15" t="s">
        <v>10</v>
      </c>
      <c r="F15" t="s">
        <v>188</v>
      </c>
      <c r="G15">
        <v>2</v>
      </c>
      <c r="H15">
        <v>2</v>
      </c>
      <c r="I15">
        <v>0</v>
      </c>
      <c r="J15">
        <v>1</v>
      </c>
      <c r="K15" t="s">
        <v>66</v>
      </c>
      <c r="L15" s="18">
        <v>0.3125</v>
      </c>
      <c r="M15" t="s">
        <v>66</v>
      </c>
      <c r="N15" s="18">
        <v>0.34583333333333333</v>
      </c>
      <c r="O15" t="s">
        <v>12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B15" t="s">
        <v>22</v>
      </c>
      <c r="AC15">
        <v>19</v>
      </c>
    </row>
    <row r="16" spans="1:29" x14ac:dyDescent="0.25">
      <c r="A16">
        <v>123616462</v>
      </c>
      <c r="B16">
        <v>2029888967</v>
      </c>
      <c r="C16">
        <v>100</v>
      </c>
      <c r="E16" t="s">
        <v>10</v>
      </c>
      <c r="F16" t="s">
        <v>189</v>
      </c>
      <c r="G16">
        <v>2</v>
      </c>
      <c r="H16">
        <v>6</v>
      </c>
      <c r="I16">
        <v>0</v>
      </c>
      <c r="J16">
        <v>3</v>
      </c>
      <c r="K16" t="s">
        <v>66</v>
      </c>
      <c r="L16" s="18">
        <v>0.56083333333333329</v>
      </c>
      <c r="M16" t="s">
        <v>66</v>
      </c>
      <c r="N16" s="18">
        <v>0.66083333333333338</v>
      </c>
      <c r="O16" t="s">
        <v>12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B16" t="s">
        <v>22</v>
      </c>
      <c r="AC16">
        <v>19</v>
      </c>
    </row>
    <row r="17" spans="1:29" x14ac:dyDescent="0.25">
      <c r="A17">
        <v>125179542</v>
      </c>
      <c r="B17">
        <v>2029951294</v>
      </c>
      <c r="C17">
        <v>90</v>
      </c>
      <c r="E17" t="s">
        <v>10</v>
      </c>
      <c r="F17" t="s">
        <v>190</v>
      </c>
      <c r="G17">
        <v>2</v>
      </c>
      <c r="H17">
        <v>8</v>
      </c>
      <c r="I17">
        <v>0</v>
      </c>
      <c r="J17">
        <v>4</v>
      </c>
      <c r="K17" t="s">
        <v>86</v>
      </c>
      <c r="L17" s="18">
        <v>0.48583333333333334</v>
      </c>
      <c r="M17" t="s">
        <v>86</v>
      </c>
      <c r="N17" s="18">
        <v>0.66083333333333338</v>
      </c>
      <c r="O17" t="s">
        <v>12</v>
      </c>
      <c r="P17" t="s">
        <v>17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A17">
        <v>2</v>
      </c>
      <c r="AC17">
        <v>19</v>
      </c>
    </row>
    <row r="18" spans="1:29" x14ac:dyDescent="0.25">
      <c r="A18">
        <v>133889775</v>
      </c>
      <c r="B18">
        <v>2030006596</v>
      </c>
      <c r="C18">
        <v>25</v>
      </c>
      <c r="E18" t="s">
        <v>10</v>
      </c>
      <c r="F18" t="s">
        <v>191</v>
      </c>
      <c r="G18">
        <v>2</v>
      </c>
      <c r="H18">
        <v>16</v>
      </c>
      <c r="I18">
        <v>0</v>
      </c>
      <c r="J18">
        <v>8</v>
      </c>
      <c r="K18" t="s">
        <v>66</v>
      </c>
      <c r="L18" s="18">
        <v>0.3125</v>
      </c>
      <c r="M18" t="s">
        <v>66</v>
      </c>
      <c r="N18" s="18">
        <v>0.6875</v>
      </c>
      <c r="O18" t="s">
        <v>12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22</v>
      </c>
      <c r="AC18">
        <v>19</v>
      </c>
    </row>
    <row r="19" spans="1:29" x14ac:dyDescent="0.25">
      <c r="A19">
        <v>124557404</v>
      </c>
      <c r="B19">
        <v>2030006596</v>
      </c>
      <c r="C19">
        <v>30</v>
      </c>
      <c r="E19" t="s">
        <v>10</v>
      </c>
      <c r="F19" t="s">
        <v>192</v>
      </c>
      <c r="G19">
        <v>2</v>
      </c>
      <c r="H19">
        <v>4</v>
      </c>
      <c r="I19">
        <v>0</v>
      </c>
      <c r="J19">
        <v>2</v>
      </c>
      <c r="K19" t="s">
        <v>66</v>
      </c>
      <c r="L19" s="18">
        <v>0.6875</v>
      </c>
      <c r="M19" t="s">
        <v>64</v>
      </c>
      <c r="N19" s="18">
        <v>0.35416666666666669</v>
      </c>
      <c r="O19" t="s">
        <v>54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22</v>
      </c>
      <c r="AC19">
        <v>19</v>
      </c>
    </row>
    <row r="20" spans="1:29" x14ac:dyDescent="0.25">
      <c r="A20">
        <v>124557405</v>
      </c>
      <c r="B20">
        <v>2030006596</v>
      </c>
      <c r="C20">
        <v>40</v>
      </c>
      <c r="E20" t="s">
        <v>10</v>
      </c>
      <c r="F20" t="s">
        <v>193</v>
      </c>
      <c r="G20">
        <v>2</v>
      </c>
      <c r="H20">
        <v>6</v>
      </c>
      <c r="I20">
        <v>0</v>
      </c>
      <c r="J20">
        <v>3</v>
      </c>
      <c r="K20" t="s">
        <v>64</v>
      </c>
      <c r="L20" s="18">
        <v>0.35416666666666669</v>
      </c>
      <c r="M20" t="s">
        <v>64</v>
      </c>
      <c r="N20" s="18">
        <v>0.47916666666666669</v>
      </c>
      <c r="O20" t="s">
        <v>54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22</v>
      </c>
      <c r="AC20">
        <v>19</v>
      </c>
    </row>
    <row r="21" spans="1:29" x14ac:dyDescent="0.25">
      <c r="A21">
        <v>126536763</v>
      </c>
      <c r="B21">
        <v>2030285635</v>
      </c>
      <c r="C21">
        <v>20</v>
      </c>
      <c r="E21" t="s">
        <v>10</v>
      </c>
      <c r="F21" t="s">
        <v>194</v>
      </c>
      <c r="G21">
        <v>2</v>
      </c>
      <c r="H21">
        <v>4</v>
      </c>
      <c r="I21">
        <v>0</v>
      </c>
      <c r="J21">
        <v>2</v>
      </c>
      <c r="K21" t="s">
        <v>66</v>
      </c>
      <c r="L21" s="18">
        <v>0.3125</v>
      </c>
      <c r="M21" t="s">
        <v>66</v>
      </c>
      <c r="N21" s="18">
        <v>0.37916666666666665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22</v>
      </c>
      <c r="AC21">
        <v>19</v>
      </c>
    </row>
    <row r="22" spans="1:29" x14ac:dyDescent="0.25">
      <c r="A22">
        <v>133459597</v>
      </c>
      <c r="B22">
        <v>2030377954</v>
      </c>
      <c r="C22">
        <v>381</v>
      </c>
      <c r="E22" t="s">
        <v>10</v>
      </c>
      <c r="F22" t="s">
        <v>55</v>
      </c>
      <c r="G22">
        <v>2</v>
      </c>
      <c r="H22">
        <v>36</v>
      </c>
      <c r="I22">
        <v>0</v>
      </c>
      <c r="J22">
        <v>18</v>
      </c>
      <c r="K22" t="s">
        <v>66</v>
      </c>
      <c r="L22" s="18">
        <v>0</v>
      </c>
      <c r="M22" t="s">
        <v>66</v>
      </c>
      <c r="N22" s="18">
        <v>0.75</v>
      </c>
      <c r="O22" t="s">
        <v>12</v>
      </c>
      <c r="P22" t="s">
        <v>15</v>
      </c>
      <c r="Q22" t="s">
        <v>14</v>
      </c>
      <c r="T22" s="18">
        <v>0</v>
      </c>
      <c r="W22" s="19">
        <v>0</v>
      </c>
      <c r="Y22">
        <v>0</v>
      </c>
      <c r="Z22">
        <v>0</v>
      </c>
      <c r="AB22" t="s">
        <v>22</v>
      </c>
      <c r="AC22">
        <v>19</v>
      </c>
    </row>
    <row r="23" spans="1:29" x14ac:dyDescent="0.25">
      <c r="A23">
        <v>133639680</v>
      </c>
      <c r="B23">
        <v>2030377954</v>
      </c>
      <c r="C23">
        <v>391</v>
      </c>
      <c r="E23" t="s">
        <v>10</v>
      </c>
      <c r="F23" t="s">
        <v>56</v>
      </c>
      <c r="G23">
        <v>2</v>
      </c>
      <c r="H23">
        <v>12</v>
      </c>
      <c r="I23">
        <v>0</v>
      </c>
      <c r="J23">
        <v>6</v>
      </c>
      <c r="K23" t="s">
        <v>66</v>
      </c>
      <c r="L23" s="18">
        <v>0</v>
      </c>
      <c r="M23" t="s">
        <v>66</v>
      </c>
      <c r="N23" s="18">
        <v>0.25</v>
      </c>
      <c r="O23" t="s">
        <v>12</v>
      </c>
      <c r="P23" t="s">
        <v>15</v>
      </c>
      <c r="Q23" t="s">
        <v>14</v>
      </c>
      <c r="T23" s="18">
        <v>0</v>
      </c>
      <c r="W23" s="19">
        <v>0</v>
      </c>
      <c r="Y23">
        <v>0</v>
      </c>
      <c r="Z23">
        <v>0</v>
      </c>
      <c r="AB23" t="s">
        <v>22</v>
      </c>
      <c r="AC23">
        <v>19</v>
      </c>
    </row>
    <row r="24" spans="1:29" x14ac:dyDescent="0.25">
      <c r="A24">
        <v>133677472</v>
      </c>
      <c r="B24">
        <v>2030377954</v>
      </c>
      <c r="C24">
        <v>397</v>
      </c>
      <c r="E24" t="s">
        <v>10</v>
      </c>
      <c r="F24" t="s">
        <v>57</v>
      </c>
      <c r="G24">
        <v>2</v>
      </c>
      <c r="H24">
        <v>10</v>
      </c>
      <c r="I24">
        <v>0</v>
      </c>
      <c r="J24">
        <v>5</v>
      </c>
      <c r="K24" t="s">
        <v>66</v>
      </c>
      <c r="L24" s="18">
        <v>0</v>
      </c>
      <c r="M24" t="s">
        <v>66</v>
      </c>
      <c r="N24" s="18">
        <v>0.20833333333333334</v>
      </c>
      <c r="O24" t="s">
        <v>12</v>
      </c>
      <c r="P24" t="s">
        <v>15</v>
      </c>
      <c r="Q24" t="s">
        <v>14</v>
      </c>
      <c r="T24" s="18">
        <v>0</v>
      </c>
      <c r="W24" s="19">
        <v>0</v>
      </c>
      <c r="Y24">
        <v>0</v>
      </c>
      <c r="Z24">
        <v>0</v>
      </c>
      <c r="AB24" t="s">
        <v>22</v>
      </c>
      <c r="AC24">
        <v>19</v>
      </c>
    </row>
    <row r="25" spans="1:29" x14ac:dyDescent="0.25">
      <c r="A25">
        <v>133883113</v>
      </c>
      <c r="B25">
        <v>2030707957</v>
      </c>
      <c r="C25">
        <v>160</v>
      </c>
      <c r="E25" t="s">
        <v>10</v>
      </c>
      <c r="F25" t="s">
        <v>27</v>
      </c>
      <c r="G25">
        <v>2</v>
      </c>
      <c r="H25">
        <v>2</v>
      </c>
      <c r="I25">
        <v>0</v>
      </c>
      <c r="J25">
        <v>1</v>
      </c>
      <c r="K25" t="s">
        <v>66</v>
      </c>
      <c r="L25" s="18">
        <v>0.3125</v>
      </c>
      <c r="M25" t="s">
        <v>66</v>
      </c>
      <c r="N25" s="18">
        <v>0.34583333333333333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C25">
        <v>19</v>
      </c>
    </row>
    <row r="26" spans="1:29" x14ac:dyDescent="0.25">
      <c r="A26">
        <v>129384867</v>
      </c>
      <c r="B26">
        <v>2030766268</v>
      </c>
      <c r="C26">
        <v>10</v>
      </c>
      <c r="E26" t="s">
        <v>10</v>
      </c>
      <c r="F26" t="s">
        <v>25</v>
      </c>
      <c r="G26">
        <v>2</v>
      </c>
      <c r="H26">
        <v>8</v>
      </c>
      <c r="I26">
        <v>0</v>
      </c>
      <c r="J26">
        <v>4</v>
      </c>
      <c r="K26" t="s">
        <v>66</v>
      </c>
      <c r="L26" s="18">
        <v>0.3125</v>
      </c>
      <c r="M26" t="s">
        <v>66</v>
      </c>
      <c r="N26" s="18">
        <v>0.44583333333333336</v>
      </c>
      <c r="O26" t="s">
        <v>12</v>
      </c>
      <c r="P26" t="s">
        <v>15</v>
      </c>
      <c r="Q26" t="s">
        <v>14</v>
      </c>
      <c r="T26" s="18">
        <v>0</v>
      </c>
      <c r="W26" s="18">
        <v>1</v>
      </c>
      <c r="X26" t="s">
        <v>31</v>
      </c>
      <c r="Y26">
        <v>0</v>
      </c>
      <c r="Z26">
        <v>0</v>
      </c>
      <c r="AC26">
        <v>19</v>
      </c>
    </row>
    <row r="27" spans="1:29" x14ac:dyDescent="0.25">
      <c r="A27">
        <v>131852022</v>
      </c>
      <c r="B27">
        <v>2030905114</v>
      </c>
      <c r="C27">
        <v>20</v>
      </c>
      <c r="E27" t="s">
        <v>10</v>
      </c>
      <c r="F27" t="s">
        <v>195</v>
      </c>
      <c r="G27">
        <v>2</v>
      </c>
      <c r="H27">
        <v>6</v>
      </c>
      <c r="I27">
        <v>0</v>
      </c>
      <c r="J27">
        <v>3</v>
      </c>
      <c r="K27" t="s">
        <v>78</v>
      </c>
      <c r="L27" s="18">
        <v>0.61083333333333334</v>
      </c>
      <c r="M27" t="s">
        <v>78</v>
      </c>
      <c r="N27" s="18">
        <v>0.71083333333333332</v>
      </c>
      <c r="O27" t="s">
        <v>12</v>
      </c>
      <c r="P27" t="s">
        <v>15</v>
      </c>
      <c r="Q27" t="s">
        <v>14</v>
      </c>
      <c r="T27" s="18">
        <v>0</v>
      </c>
      <c r="W27" s="18">
        <v>0</v>
      </c>
      <c r="Y27">
        <v>0</v>
      </c>
      <c r="Z27">
        <v>0</v>
      </c>
      <c r="AB27" t="s">
        <v>22</v>
      </c>
      <c r="AC27">
        <v>19</v>
      </c>
    </row>
    <row r="28" spans="1:29" x14ac:dyDescent="0.25">
      <c r="A28">
        <v>131852025</v>
      </c>
      <c r="B28">
        <v>2030905114</v>
      </c>
      <c r="C28">
        <v>50</v>
      </c>
      <c r="E28" t="s">
        <v>10</v>
      </c>
      <c r="F28" t="s">
        <v>196</v>
      </c>
      <c r="G28">
        <v>2</v>
      </c>
      <c r="H28">
        <v>6</v>
      </c>
      <c r="I28">
        <v>0</v>
      </c>
      <c r="J28">
        <v>3</v>
      </c>
      <c r="K28" t="s">
        <v>88</v>
      </c>
      <c r="L28" s="18">
        <v>0.32750000000000001</v>
      </c>
      <c r="M28" t="s">
        <v>88</v>
      </c>
      <c r="N28" s="18">
        <v>0.42749999999999999</v>
      </c>
      <c r="O28" t="s">
        <v>12</v>
      </c>
      <c r="P28" t="s">
        <v>15</v>
      </c>
      <c r="Q28" t="s">
        <v>14</v>
      </c>
      <c r="T28" s="18">
        <v>0</v>
      </c>
      <c r="W28" s="18">
        <v>0</v>
      </c>
      <c r="Y28">
        <v>0</v>
      </c>
      <c r="Z28">
        <v>0</v>
      </c>
      <c r="AB28" t="s">
        <v>22</v>
      </c>
      <c r="AC28">
        <v>19</v>
      </c>
    </row>
    <row r="29" spans="1:29" x14ac:dyDescent="0.25">
      <c r="A29">
        <v>131852028</v>
      </c>
      <c r="B29">
        <v>2030905114</v>
      </c>
      <c r="C29">
        <v>80</v>
      </c>
      <c r="E29" t="s">
        <v>10</v>
      </c>
      <c r="F29" t="s">
        <v>197</v>
      </c>
      <c r="G29">
        <v>2</v>
      </c>
      <c r="H29">
        <v>4</v>
      </c>
      <c r="I29">
        <v>0</v>
      </c>
      <c r="J29">
        <v>2</v>
      </c>
      <c r="K29" t="s">
        <v>88</v>
      </c>
      <c r="L29" s="18">
        <v>0.46083333333333332</v>
      </c>
      <c r="M29" t="s">
        <v>88</v>
      </c>
      <c r="N29" s="18">
        <v>0.56916666666666671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B29" t="s">
        <v>22</v>
      </c>
      <c r="AC29">
        <v>19</v>
      </c>
    </row>
    <row r="30" spans="1:29" x14ac:dyDescent="0.25">
      <c r="A30">
        <v>131852029</v>
      </c>
      <c r="B30">
        <v>2030905114</v>
      </c>
      <c r="C30">
        <v>90</v>
      </c>
      <c r="E30" t="s">
        <v>10</v>
      </c>
      <c r="F30" t="s">
        <v>198</v>
      </c>
      <c r="G30">
        <v>1</v>
      </c>
      <c r="H30">
        <v>0.2</v>
      </c>
      <c r="I30">
        <v>0</v>
      </c>
      <c r="J30">
        <v>0.2</v>
      </c>
      <c r="K30" t="s">
        <v>88</v>
      </c>
      <c r="L30" s="18">
        <v>0.56916666666666671</v>
      </c>
      <c r="M30" t="s">
        <v>88</v>
      </c>
      <c r="N30" s="18">
        <v>0.57583333333333331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B30" t="s">
        <v>22</v>
      </c>
      <c r="AC30">
        <v>19</v>
      </c>
    </row>
    <row r="31" spans="1:29" x14ac:dyDescent="0.25">
      <c r="A31">
        <v>132395056</v>
      </c>
      <c r="B31">
        <v>2031081914</v>
      </c>
      <c r="C31">
        <v>60</v>
      </c>
      <c r="E31" t="s">
        <v>10</v>
      </c>
      <c r="F31" t="s">
        <v>199</v>
      </c>
      <c r="G31">
        <v>1</v>
      </c>
      <c r="H31">
        <v>0.2</v>
      </c>
      <c r="I31">
        <v>0</v>
      </c>
      <c r="J31">
        <v>0.2</v>
      </c>
      <c r="K31" t="s">
        <v>64</v>
      </c>
      <c r="L31" s="18">
        <v>0.3775</v>
      </c>
      <c r="M31" t="s">
        <v>64</v>
      </c>
      <c r="N31" s="18">
        <v>0.38416666666666666</v>
      </c>
      <c r="O31" t="s">
        <v>12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B31" t="s">
        <v>22</v>
      </c>
      <c r="AC31">
        <v>19</v>
      </c>
    </row>
    <row r="32" spans="1:29" x14ac:dyDescent="0.25">
      <c r="A32">
        <v>131932822</v>
      </c>
      <c r="B32">
        <v>2031082578</v>
      </c>
      <c r="C32">
        <v>10</v>
      </c>
      <c r="E32" t="s">
        <v>10</v>
      </c>
      <c r="F32" t="s">
        <v>200</v>
      </c>
      <c r="G32">
        <v>2</v>
      </c>
      <c r="H32">
        <v>2</v>
      </c>
      <c r="I32">
        <v>0</v>
      </c>
      <c r="J32">
        <v>1</v>
      </c>
      <c r="K32" t="s">
        <v>86</v>
      </c>
      <c r="L32" s="18">
        <v>0.34583333333333333</v>
      </c>
      <c r="M32" t="s">
        <v>86</v>
      </c>
      <c r="N32" s="18">
        <v>0.37916666666666665</v>
      </c>
      <c r="O32" t="s">
        <v>12</v>
      </c>
      <c r="P32" t="s">
        <v>15</v>
      </c>
      <c r="Q32" t="s">
        <v>14</v>
      </c>
      <c r="T32" s="18">
        <v>0</v>
      </c>
      <c r="W32" s="19">
        <v>0</v>
      </c>
      <c r="Y32">
        <v>0</v>
      </c>
      <c r="Z32">
        <v>0</v>
      </c>
      <c r="AB32" t="s">
        <v>22</v>
      </c>
      <c r="AC32">
        <v>19</v>
      </c>
    </row>
    <row r="33" spans="1:29" x14ac:dyDescent="0.25">
      <c r="A33">
        <v>132124164</v>
      </c>
      <c r="B33">
        <v>2031111898</v>
      </c>
      <c r="C33">
        <v>40</v>
      </c>
      <c r="E33" t="s">
        <v>10</v>
      </c>
      <c r="F33" t="s">
        <v>201</v>
      </c>
      <c r="G33">
        <v>2</v>
      </c>
      <c r="H33">
        <v>4</v>
      </c>
      <c r="I33">
        <v>0</v>
      </c>
      <c r="J33">
        <v>2</v>
      </c>
      <c r="K33" t="s">
        <v>66</v>
      </c>
      <c r="L33" s="18">
        <v>0.47916666666666669</v>
      </c>
      <c r="M33" t="s">
        <v>66</v>
      </c>
      <c r="N33" s="18">
        <v>0.60416666666666663</v>
      </c>
      <c r="O33" t="s">
        <v>12</v>
      </c>
      <c r="P33" t="s">
        <v>15</v>
      </c>
      <c r="Q33" t="s">
        <v>14</v>
      </c>
      <c r="T33" s="18">
        <v>0</v>
      </c>
      <c r="W33" s="18">
        <v>1</v>
      </c>
      <c r="Y33">
        <v>0</v>
      </c>
      <c r="Z33">
        <v>0</v>
      </c>
      <c r="AC33">
        <v>19</v>
      </c>
    </row>
    <row r="34" spans="1:29" x14ac:dyDescent="0.25">
      <c r="A34">
        <v>132124171</v>
      </c>
      <c r="B34">
        <v>2031111898</v>
      </c>
      <c r="C34">
        <v>70</v>
      </c>
      <c r="E34" t="s">
        <v>10</v>
      </c>
      <c r="F34" t="s">
        <v>202</v>
      </c>
      <c r="G34">
        <v>2</v>
      </c>
      <c r="H34">
        <v>2</v>
      </c>
      <c r="I34">
        <v>0</v>
      </c>
      <c r="J34">
        <v>1</v>
      </c>
      <c r="K34" t="s">
        <v>66</v>
      </c>
      <c r="L34" s="18">
        <v>0.3125</v>
      </c>
      <c r="M34" t="s">
        <v>66</v>
      </c>
      <c r="N34" s="18">
        <v>0.35416666666666669</v>
      </c>
      <c r="O34" t="s">
        <v>12</v>
      </c>
      <c r="P34" t="s">
        <v>15</v>
      </c>
      <c r="Q34" t="s">
        <v>14</v>
      </c>
      <c r="T34" s="18">
        <v>0</v>
      </c>
      <c r="W34" s="18">
        <v>1</v>
      </c>
      <c r="Y34">
        <v>0</v>
      </c>
      <c r="Z34">
        <v>0</v>
      </c>
      <c r="AC34">
        <v>19</v>
      </c>
    </row>
    <row r="35" spans="1:29" x14ac:dyDescent="0.25">
      <c r="A35">
        <v>132122898</v>
      </c>
      <c r="B35">
        <v>2031111909</v>
      </c>
      <c r="C35">
        <v>20</v>
      </c>
      <c r="E35" t="s">
        <v>10</v>
      </c>
      <c r="F35" t="s">
        <v>203</v>
      </c>
      <c r="G35">
        <v>2</v>
      </c>
      <c r="H35">
        <v>8</v>
      </c>
      <c r="I35">
        <v>0</v>
      </c>
      <c r="J35">
        <v>4</v>
      </c>
      <c r="K35" t="s">
        <v>86</v>
      </c>
      <c r="L35" s="18">
        <v>0.47916666666666669</v>
      </c>
      <c r="M35" t="s">
        <v>86</v>
      </c>
      <c r="N35" s="18">
        <v>0.65416666666666667</v>
      </c>
      <c r="O35" t="s">
        <v>12</v>
      </c>
      <c r="P35" t="s">
        <v>15</v>
      </c>
      <c r="Q35" t="s">
        <v>14</v>
      </c>
      <c r="T35" s="18">
        <v>0</v>
      </c>
      <c r="W35" s="18">
        <v>0</v>
      </c>
      <c r="Y35">
        <v>0</v>
      </c>
      <c r="Z35">
        <v>0</v>
      </c>
      <c r="AC35">
        <v>19</v>
      </c>
    </row>
    <row r="36" spans="1:29" x14ac:dyDescent="0.25">
      <c r="A36">
        <v>132525582</v>
      </c>
      <c r="B36">
        <v>2031172622</v>
      </c>
      <c r="C36">
        <v>10</v>
      </c>
      <c r="E36" t="s">
        <v>10</v>
      </c>
      <c r="F36" t="s">
        <v>204</v>
      </c>
      <c r="G36">
        <v>2</v>
      </c>
      <c r="H36">
        <v>8</v>
      </c>
      <c r="I36">
        <v>0</v>
      </c>
      <c r="J36">
        <v>4</v>
      </c>
      <c r="K36" t="s">
        <v>66</v>
      </c>
      <c r="L36" s="18">
        <v>0.3125</v>
      </c>
      <c r="M36" t="s">
        <v>66</v>
      </c>
      <c r="N36" s="18">
        <v>0.47916666666666669</v>
      </c>
      <c r="O36" t="s">
        <v>12</v>
      </c>
      <c r="P36" t="s">
        <v>15</v>
      </c>
      <c r="Q36" t="s">
        <v>14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22</v>
      </c>
      <c r="AC36">
        <v>19</v>
      </c>
    </row>
    <row r="37" spans="1:29" x14ac:dyDescent="0.25">
      <c r="A37">
        <v>133137838</v>
      </c>
      <c r="B37">
        <v>2031172622</v>
      </c>
      <c r="C37">
        <v>20</v>
      </c>
      <c r="E37" t="s">
        <v>10</v>
      </c>
      <c r="F37" t="s">
        <v>205</v>
      </c>
      <c r="G37">
        <v>2</v>
      </c>
      <c r="H37">
        <v>6</v>
      </c>
      <c r="I37">
        <v>0</v>
      </c>
      <c r="J37">
        <v>3</v>
      </c>
      <c r="K37" t="s">
        <v>66</v>
      </c>
      <c r="L37" s="18">
        <v>0.47916666666666669</v>
      </c>
      <c r="M37" t="s">
        <v>66</v>
      </c>
      <c r="N37" s="18">
        <v>0.64583333333333337</v>
      </c>
      <c r="O37" t="s">
        <v>12</v>
      </c>
      <c r="P37" t="s">
        <v>15</v>
      </c>
      <c r="Q37" t="s">
        <v>14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22</v>
      </c>
      <c r="AC37">
        <v>19</v>
      </c>
    </row>
    <row r="38" spans="1:29" x14ac:dyDescent="0.25">
      <c r="A38">
        <v>133137839</v>
      </c>
      <c r="B38">
        <v>2031172622</v>
      </c>
      <c r="C38">
        <v>30</v>
      </c>
      <c r="E38" t="s">
        <v>10</v>
      </c>
      <c r="F38" t="s">
        <v>206</v>
      </c>
      <c r="G38">
        <v>2</v>
      </c>
      <c r="H38">
        <v>8</v>
      </c>
      <c r="I38">
        <v>0</v>
      </c>
      <c r="J38">
        <v>4</v>
      </c>
      <c r="K38" t="s">
        <v>66</v>
      </c>
      <c r="L38" s="18">
        <v>0.64583333333333337</v>
      </c>
      <c r="M38" t="s">
        <v>64</v>
      </c>
      <c r="N38" s="18">
        <v>0.39583333333333331</v>
      </c>
      <c r="O38" t="s">
        <v>12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22</v>
      </c>
      <c r="AC38">
        <v>19</v>
      </c>
    </row>
    <row r="39" spans="1:29" x14ac:dyDescent="0.25">
      <c r="A39">
        <v>133137840</v>
      </c>
      <c r="B39">
        <v>2031172622</v>
      </c>
      <c r="C39">
        <v>40</v>
      </c>
      <c r="E39" t="s">
        <v>10</v>
      </c>
      <c r="F39" t="s">
        <v>207</v>
      </c>
      <c r="G39">
        <v>2</v>
      </c>
      <c r="H39">
        <v>4</v>
      </c>
      <c r="I39">
        <v>0</v>
      </c>
      <c r="J39">
        <v>2</v>
      </c>
      <c r="K39" t="s">
        <v>64</v>
      </c>
      <c r="L39" s="18">
        <v>0.39583333333333331</v>
      </c>
      <c r="M39" t="s">
        <v>64</v>
      </c>
      <c r="N39" s="18">
        <v>0.47916666666666669</v>
      </c>
      <c r="O39" t="s">
        <v>12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22</v>
      </c>
      <c r="AC39">
        <v>19</v>
      </c>
    </row>
    <row r="40" spans="1:29" x14ac:dyDescent="0.25">
      <c r="A40">
        <v>133137841</v>
      </c>
      <c r="B40">
        <v>2031172622</v>
      </c>
      <c r="C40">
        <v>50</v>
      </c>
      <c r="E40" t="s">
        <v>10</v>
      </c>
      <c r="F40" t="s">
        <v>208</v>
      </c>
      <c r="G40">
        <v>2</v>
      </c>
      <c r="H40">
        <v>8</v>
      </c>
      <c r="I40">
        <v>0</v>
      </c>
      <c r="J40">
        <v>4</v>
      </c>
      <c r="K40" t="s">
        <v>64</v>
      </c>
      <c r="L40" s="18">
        <v>0.47916666666666669</v>
      </c>
      <c r="M40" t="s">
        <v>64</v>
      </c>
      <c r="N40" s="18">
        <v>0.6875</v>
      </c>
      <c r="O40" t="s">
        <v>12</v>
      </c>
      <c r="P40" t="s">
        <v>15</v>
      </c>
      <c r="Q40" t="s">
        <v>14</v>
      </c>
      <c r="T40" s="18">
        <v>0</v>
      </c>
      <c r="W40" s="19">
        <v>0</v>
      </c>
      <c r="Y40">
        <v>0</v>
      </c>
      <c r="Z40">
        <v>0</v>
      </c>
      <c r="AA40">
        <v>2</v>
      </c>
      <c r="AB40" t="s">
        <v>22</v>
      </c>
      <c r="AC40">
        <v>19</v>
      </c>
    </row>
    <row r="41" spans="1:29" x14ac:dyDescent="0.25">
      <c r="A41">
        <v>133137843</v>
      </c>
      <c r="B41">
        <v>2031172622</v>
      </c>
      <c r="C41">
        <v>70</v>
      </c>
      <c r="E41" t="s">
        <v>10</v>
      </c>
      <c r="F41" t="s">
        <v>209</v>
      </c>
      <c r="G41">
        <v>2</v>
      </c>
      <c r="H41">
        <v>4</v>
      </c>
      <c r="I41">
        <v>0</v>
      </c>
      <c r="J41">
        <v>2</v>
      </c>
      <c r="K41" t="s">
        <v>78</v>
      </c>
      <c r="L41" s="18">
        <v>0.375</v>
      </c>
      <c r="M41" t="s">
        <v>78</v>
      </c>
      <c r="N41" s="18">
        <v>0.45833333333333331</v>
      </c>
      <c r="O41" t="s">
        <v>12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22</v>
      </c>
      <c r="AC41">
        <v>19</v>
      </c>
    </row>
    <row r="42" spans="1:29" x14ac:dyDescent="0.25">
      <c r="A42">
        <v>133137844</v>
      </c>
      <c r="B42">
        <v>2031172622</v>
      </c>
      <c r="C42">
        <v>80</v>
      </c>
      <c r="E42" t="s">
        <v>10</v>
      </c>
      <c r="F42" t="s">
        <v>210</v>
      </c>
      <c r="G42">
        <v>1</v>
      </c>
      <c r="H42">
        <v>0.2</v>
      </c>
      <c r="I42">
        <v>0</v>
      </c>
      <c r="J42">
        <v>0.2</v>
      </c>
      <c r="K42" t="s">
        <v>78</v>
      </c>
      <c r="L42" s="18">
        <v>0.45833333333333331</v>
      </c>
      <c r="M42" t="s">
        <v>78</v>
      </c>
      <c r="N42" s="18">
        <v>0.46666666666666667</v>
      </c>
      <c r="O42" t="s">
        <v>12</v>
      </c>
      <c r="P42" t="s">
        <v>15</v>
      </c>
      <c r="Q42" t="s">
        <v>14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22</v>
      </c>
      <c r="AC42">
        <v>19</v>
      </c>
    </row>
    <row r="43" spans="1:29" x14ac:dyDescent="0.25">
      <c r="A43">
        <v>132526100</v>
      </c>
      <c r="B43">
        <v>2031172674</v>
      </c>
      <c r="C43">
        <v>10</v>
      </c>
      <c r="E43" t="s">
        <v>10</v>
      </c>
      <c r="F43" t="s">
        <v>211</v>
      </c>
      <c r="G43">
        <v>2</v>
      </c>
      <c r="H43">
        <v>8</v>
      </c>
      <c r="I43">
        <v>0</v>
      </c>
      <c r="J43">
        <v>4</v>
      </c>
      <c r="K43" t="s">
        <v>66</v>
      </c>
      <c r="L43" s="18">
        <v>0.38583333333333331</v>
      </c>
      <c r="M43" t="s">
        <v>66</v>
      </c>
      <c r="N43" s="18">
        <v>0.56083333333333329</v>
      </c>
      <c r="O43" t="s">
        <v>12</v>
      </c>
      <c r="P43" t="s">
        <v>15</v>
      </c>
      <c r="Q43" t="s">
        <v>14</v>
      </c>
      <c r="T43" s="18">
        <v>0</v>
      </c>
      <c r="W43" s="18">
        <v>1</v>
      </c>
      <c r="X43" t="s">
        <v>31</v>
      </c>
      <c r="Y43">
        <v>0</v>
      </c>
      <c r="Z43">
        <v>0</v>
      </c>
      <c r="AC43">
        <v>19</v>
      </c>
    </row>
    <row r="44" spans="1:29" x14ac:dyDescent="0.25">
      <c r="A44">
        <v>132525631</v>
      </c>
      <c r="B44">
        <v>2031172941</v>
      </c>
      <c r="C44">
        <v>10</v>
      </c>
      <c r="E44" t="s">
        <v>10</v>
      </c>
      <c r="F44" t="s">
        <v>212</v>
      </c>
      <c r="G44">
        <v>2</v>
      </c>
      <c r="H44">
        <v>1</v>
      </c>
      <c r="I44">
        <v>0</v>
      </c>
      <c r="J44">
        <v>0.5</v>
      </c>
      <c r="K44" t="s">
        <v>64</v>
      </c>
      <c r="L44" s="18">
        <v>0.47749999999999998</v>
      </c>
      <c r="M44" t="s">
        <v>64</v>
      </c>
      <c r="N44" s="18">
        <v>0.49416666666666664</v>
      </c>
      <c r="O44" t="s">
        <v>12</v>
      </c>
      <c r="P44" t="s">
        <v>15</v>
      </c>
      <c r="Q44" t="s">
        <v>14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22</v>
      </c>
      <c r="AC44">
        <v>19</v>
      </c>
    </row>
    <row r="45" spans="1:29" x14ac:dyDescent="0.25">
      <c r="A45">
        <v>132698483</v>
      </c>
      <c r="B45">
        <v>2031172941</v>
      </c>
      <c r="C45">
        <v>20</v>
      </c>
      <c r="E45" t="s">
        <v>10</v>
      </c>
      <c r="F45" t="s">
        <v>213</v>
      </c>
      <c r="G45">
        <v>2</v>
      </c>
      <c r="H45">
        <v>1</v>
      </c>
      <c r="I45">
        <v>0</v>
      </c>
      <c r="J45">
        <v>0.5</v>
      </c>
      <c r="K45" t="s">
        <v>64</v>
      </c>
      <c r="L45" s="18">
        <v>0.68583333333333329</v>
      </c>
      <c r="M45" t="s">
        <v>64</v>
      </c>
      <c r="N45" s="18">
        <v>0.70250000000000001</v>
      </c>
      <c r="O45" t="s">
        <v>12</v>
      </c>
      <c r="P45" t="s">
        <v>15</v>
      </c>
      <c r="Q45" t="s">
        <v>14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22</v>
      </c>
      <c r="AC45">
        <v>19</v>
      </c>
    </row>
    <row r="46" spans="1:29" x14ac:dyDescent="0.25">
      <c r="A46">
        <v>132933443</v>
      </c>
      <c r="B46">
        <v>2031172941</v>
      </c>
      <c r="C46">
        <v>40</v>
      </c>
      <c r="E46" t="s">
        <v>10</v>
      </c>
      <c r="F46" t="s">
        <v>214</v>
      </c>
      <c r="G46">
        <v>2</v>
      </c>
      <c r="H46">
        <v>1</v>
      </c>
      <c r="I46">
        <v>0</v>
      </c>
      <c r="J46">
        <v>0.5</v>
      </c>
      <c r="K46" t="s">
        <v>64</v>
      </c>
      <c r="L46" s="18">
        <v>0.72583333333333333</v>
      </c>
      <c r="M46" t="s">
        <v>78</v>
      </c>
      <c r="N46" s="18">
        <v>0.32583333333333331</v>
      </c>
      <c r="O46" t="s">
        <v>12</v>
      </c>
      <c r="P46" t="s">
        <v>15</v>
      </c>
      <c r="Q46" t="s">
        <v>14</v>
      </c>
      <c r="T46" s="18">
        <v>0</v>
      </c>
      <c r="W46" s="18">
        <v>0</v>
      </c>
      <c r="Y46">
        <v>0</v>
      </c>
      <c r="Z46">
        <v>0</v>
      </c>
      <c r="AA46">
        <v>2</v>
      </c>
      <c r="AB46" t="s">
        <v>22</v>
      </c>
      <c r="AC46">
        <v>19</v>
      </c>
    </row>
    <row r="47" spans="1:29" x14ac:dyDescent="0.25">
      <c r="A47">
        <v>132933444</v>
      </c>
      <c r="B47">
        <v>2031172941</v>
      </c>
      <c r="C47">
        <v>50</v>
      </c>
      <c r="E47" t="s">
        <v>10</v>
      </c>
      <c r="F47" t="s">
        <v>215</v>
      </c>
      <c r="G47">
        <v>1</v>
      </c>
      <c r="H47">
        <v>0.1</v>
      </c>
      <c r="I47">
        <v>0</v>
      </c>
      <c r="J47">
        <v>0.1</v>
      </c>
      <c r="K47" t="s">
        <v>78</v>
      </c>
      <c r="L47" s="18">
        <v>0.32583333333333331</v>
      </c>
      <c r="M47" t="s">
        <v>78</v>
      </c>
      <c r="N47" s="18">
        <v>0.32916666666666666</v>
      </c>
      <c r="O47" t="s">
        <v>12</v>
      </c>
      <c r="P47" t="s">
        <v>15</v>
      </c>
      <c r="Q47" t="s">
        <v>14</v>
      </c>
      <c r="T47" s="18">
        <v>0</v>
      </c>
      <c r="W47" s="18">
        <v>0</v>
      </c>
      <c r="Y47">
        <v>0</v>
      </c>
      <c r="Z47">
        <v>0</v>
      </c>
      <c r="AA47">
        <v>2</v>
      </c>
      <c r="AB47" t="s">
        <v>22</v>
      </c>
      <c r="AC47">
        <v>19</v>
      </c>
    </row>
    <row r="48" spans="1:29" x14ac:dyDescent="0.25">
      <c r="A48">
        <v>132597026</v>
      </c>
      <c r="B48">
        <v>2031187610</v>
      </c>
      <c r="C48">
        <v>20</v>
      </c>
      <c r="E48" t="s">
        <v>10</v>
      </c>
      <c r="F48" t="s">
        <v>216</v>
      </c>
      <c r="G48">
        <v>2</v>
      </c>
      <c r="H48">
        <v>8</v>
      </c>
      <c r="I48">
        <v>0</v>
      </c>
      <c r="J48">
        <v>4</v>
      </c>
      <c r="K48" t="s">
        <v>66</v>
      </c>
      <c r="L48" s="18">
        <v>0.3125</v>
      </c>
      <c r="M48" t="s">
        <v>66</v>
      </c>
      <c r="N48" s="18">
        <v>0.44583333333333336</v>
      </c>
      <c r="O48" t="s">
        <v>12</v>
      </c>
      <c r="P48" t="s">
        <v>15</v>
      </c>
      <c r="Q48" t="s">
        <v>14</v>
      </c>
      <c r="T48" s="18">
        <v>0</v>
      </c>
      <c r="W48" s="18">
        <v>1</v>
      </c>
      <c r="Y48">
        <v>0</v>
      </c>
      <c r="Z48">
        <v>0</v>
      </c>
      <c r="AC48">
        <v>19</v>
      </c>
    </row>
    <row r="49" spans="1:29" x14ac:dyDescent="0.25">
      <c r="A49">
        <v>133277816</v>
      </c>
      <c r="B49">
        <v>2031234073</v>
      </c>
      <c r="C49">
        <v>40</v>
      </c>
      <c r="E49" t="s">
        <v>10</v>
      </c>
      <c r="F49" t="s">
        <v>217</v>
      </c>
      <c r="G49">
        <v>2</v>
      </c>
      <c r="H49">
        <v>4</v>
      </c>
      <c r="I49">
        <v>0</v>
      </c>
      <c r="J49">
        <v>2</v>
      </c>
      <c r="K49" t="s">
        <v>66</v>
      </c>
      <c r="L49" s="18">
        <v>0.44583333333333336</v>
      </c>
      <c r="M49" t="s">
        <v>66</v>
      </c>
      <c r="N49" s="18">
        <v>0.5541666666666667</v>
      </c>
      <c r="O49" t="s">
        <v>12</v>
      </c>
      <c r="P49" t="s">
        <v>15</v>
      </c>
      <c r="Q49" t="s">
        <v>14</v>
      </c>
      <c r="T49" s="18">
        <v>0</v>
      </c>
      <c r="W49" s="19">
        <v>0</v>
      </c>
      <c r="Y49">
        <v>0</v>
      </c>
      <c r="Z49">
        <v>0</v>
      </c>
      <c r="AB49" t="s">
        <v>22</v>
      </c>
      <c r="AC49">
        <v>19</v>
      </c>
    </row>
    <row r="50" spans="1:29" x14ac:dyDescent="0.25">
      <c r="A50">
        <v>133277817</v>
      </c>
      <c r="B50">
        <v>2031234073</v>
      </c>
      <c r="C50">
        <v>50</v>
      </c>
      <c r="E50" t="s">
        <v>10</v>
      </c>
      <c r="F50" t="s">
        <v>218</v>
      </c>
      <c r="G50">
        <v>2</v>
      </c>
      <c r="H50">
        <v>4</v>
      </c>
      <c r="I50">
        <v>0</v>
      </c>
      <c r="J50">
        <v>2</v>
      </c>
      <c r="K50" t="s">
        <v>66</v>
      </c>
      <c r="L50" s="18">
        <v>0.5541666666666667</v>
      </c>
      <c r="M50" t="s">
        <v>66</v>
      </c>
      <c r="N50" s="18">
        <v>0.62083333333333335</v>
      </c>
      <c r="O50" t="s">
        <v>12</v>
      </c>
      <c r="P50" t="s">
        <v>15</v>
      </c>
      <c r="Q50" t="s">
        <v>14</v>
      </c>
      <c r="T50" s="18">
        <v>0</v>
      </c>
      <c r="W50" s="19">
        <v>0</v>
      </c>
      <c r="Y50">
        <v>0</v>
      </c>
      <c r="Z50">
        <v>0</v>
      </c>
      <c r="AB50" t="s">
        <v>22</v>
      </c>
      <c r="AC50">
        <v>19</v>
      </c>
    </row>
    <row r="51" spans="1:29" x14ac:dyDescent="0.25">
      <c r="A51">
        <v>133883095</v>
      </c>
      <c r="B51">
        <v>2031240660</v>
      </c>
      <c r="C51">
        <v>95</v>
      </c>
      <c r="E51" t="s">
        <v>10</v>
      </c>
      <c r="F51" t="s">
        <v>59</v>
      </c>
      <c r="G51">
        <v>2</v>
      </c>
      <c r="H51">
        <v>12</v>
      </c>
      <c r="I51">
        <v>0</v>
      </c>
      <c r="J51">
        <v>6</v>
      </c>
      <c r="K51" t="s">
        <v>66</v>
      </c>
      <c r="L51" s="18">
        <v>0.3125</v>
      </c>
      <c r="M51" t="s">
        <v>66</v>
      </c>
      <c r="N51" s="18">
        <v>0.60416666666666663</v>
      </c>
      <c r="O51" t="s">
        <v>12</v>
      </c>
      <c r="P51" t="s">
        <v>15</v>
      </c>
      <c r="Q51" t="s">
        <v>58</v>
      </c>
      <c r="T51" s="18">
        <v>0</v>
      </c>
      <c r="W51" s="19">
        <v>0</v>
      </c>
      <c r="Y51">
        <v>0</v>
      </c>
      <c r="Z51">
        <v>0</v>
      </c>
      <c r="AA51">
        <v>2</v>
      </c>
      <c r="AB51" t="s">
        <v>22</v>
      </c>
      <c r="AC51">
        <v>19</v>
      </c>
    </row>
    <row r="52" spans="1:29" x14ac:dyDescent="0.25">
      <c r="A52">
        <v>133883096</v>
      </c>
      <c r="B52">
        <v>2031240660</v>
      </c>
      <c r="C52">
        <v>96</v>
      </c>
      <c r="E52" t="s">
        <v>10</v>
      </c>
      <c r="F52" t="s">
        <v>60</v>
      </c>
      <c r="G52">
        <v>2</v>
      </c>
      <c r="H52">
        <v>4</v>
      </c>
      <c r="I52">
        <v>0</v>
      </c>
      <c r="J52">
        <v>2</v>
      </c>
      <c r="K52" t="s">
        <v>66</v>
      </c>
      <c r="L52" s="18">
        <v>0.3125</v>
      </c>
      <c r="M52" t="s">
        <v>66</v>
      </c>
      <c r="N52" s="18">
        <v>0.39583333333333331</v>
      </c>
      <c r="O52" t="s">
        <v>12</v>
      </c>
      <c r="P52" t="s">
        <v>15</v>
      </c>
      <c r="Q52" t="s">
        <v>58</v>
      </c>
      <c r="T52" s="18">
        <v>0</v>
      </c>
      <c r="W52" s="19">
        <v>0</v>
      </c>
      <c r="Y52">
        <v>0</v>
      </c>
      <c r="Z52">
        <v>0</v>
      </c>
      <c r="AA52">
        <v>2</v>
      </c>
      <c r="AB52" t="s">
        <v>22</v>
      </c>
      <c r="AC52">
        <v>19</v>
      </c>
    </row>
    <row r="53" spans="1:29" x14ac:dyDescent="0.25">
      <c r="A53">
        <v>133107737</v>
      </c>
      <c r="B53">
        <v>2031240660</v>
      </c>
      <c r="C53">
        <v>100</v>
      </c>
      <c r="E53" t="s">
        <v>10</v>
      </c>
      <c r="F53" t="s">
        <v>61</v>
      </c>
      <c r="G53">
        <v>2</v>
      </c>
      <c r="H53">
        <v>8</v>
      </c>
      <c r="I53">
        <v>0</v>
      </c>
      <c r="J53">
        <v>4</v>
      </c>
      <c r="K53" t="s">
        <v>66</v>
      </c>
      <c r="L53" s="18">
        <v>0.3125</v>
      </c>
      <c r="M53" t="s">
        <v>66</v>
      </c>
      <c r="N53" s="18">
        <v>0.47916666666666669</v>
      </c>
      <c r="O53" t="s">
        <v>12</v>
      </c>
      <c r="P53" t="s">
        <v>15</v>
      </c>
      <c r="Q53" t="s">
        <v>14</v>
      </c>
      <c r="T53" s="18">
        <v>0</v>
      </c>
      <c r="W53" s="18">
        <v>0</v>
      </c>
      <c r="Y53">
        <v>0</v>
      </c>
      <c r="Z53">
        <v>0</v>
      </c>
      <c r="AA53">
        <v>2</v>
      </c>
      <c r="AB53" t="s">
        <v>22</v>
      </c>
      <c r="AC53">
        <v>19</v>
      </c>
    </row>
    <row r="54" spans="1:29" x14ac:dyDescent="0.25">
      <c r="A54">
        <v>133107741</v>
      </c>
      <c r="B54">
        <v>2031240660</v>
      </c>
      <c r="C54">
        <v>140</v>
      </c>
      <c r="E54" t="s">
        <v>10</v>
      </c>
      <c r="F54" t="s">
        <v>62</v>
      </c>
      <c r="G54">
        <v>2</v>
      </c>
      <c r="H54">
        <v>6</v>
      </c>
      <c r="I54">
        <v>0</v>
      </c>
      <c r="J54">
        <v>3</v>
      </c>
      <c r="K54" t="s">
        <v>66</v>
      </c>
      <c r="L54" s="18">
        <v>0.3125</v>
      </c>
      <c r="M54" t="s">
        <v>66</v>
      </c>
      <c r="N54" s="18">
        <v>0.4375</v>
      </c>
      <c r="O54" t="s">
        <v>12</v>
      </c>
      <c r="P54" t="s">
        <v>15</v>
      </c>
      <c r="Q54" t="s">
        <v>14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22</v>
      </c>
      <c r="AC54">
        <v>19</v>
      </c>
    </row>
    <row r="55" spans="1:29" x14ac:dyDescent="0.25">
      <c r="A55">
        <v>133160531</v>
      </c>
      <c r="B55">
        <v>2031272806</v>
      </c>
      <c r="C55">
        <v>80</v>
      </c>
      <c r="E55" t="s">
        <v>10</v>
      </c>
      <c r="F55" t="s">
        <v>219</v>
      </c>
      <c r="G55">
        <v>1</v>
      </c>
      <c r="H55">
        <v>0.2</v>
      </c>
      <c r="I55">
        <v>0</v>
      </c>
      <c r="J55">
        <v>0.2</v>
      </c>
      <c r="K55" t="s">
        <v>66</v>
      </c>
      <c r="L55" s="18">
        <v>0.72416666666666663</v>
      </c>
      <c r="M55" t="s">
        <v>64</v>
      </c>
      <c r="N55" s="18">
        <v>0.31416666666666665</v>
      </c>
      <c r="O55" t="s">
        <v>12</v>
      </c>
      <c r="P55" t="s">
        <v>15</v>
      </c>
      <c r="Q55" t="s">
        <v>14</v>
      </c>
      <c r="T55" s="18">
        <v>0</v>
      </c>
      <c r="W55" s="18">
        <v>0</v>
      </c>
      <c r="Y55">
        <v>0</v>
      </c>
      <c r="Z55">
        <v>0</v>
      </c>
      <c r="AB55" t="s">
        <v>22</v>
      </c>
      <c r="AC55">
        <v>19</v>
      </c>
    </row>
    <row r="56" spans="1:29" x14ac:dyDescent="0.25">
      <c r="A56">
        <v>133262406</v>
      </c>
      <c r="B56">
        <v>2031294336</v>
      </c>
      <c r="C56">
        <v>10</v>
      </c>
      <c r="E56" t="s">
        <v>10</v>
      </c>
      <c r="F56" t="s">
        <v>220</v>
      </c>
      <c r="G56">
        <v>2</v>
      </c>
      <c r="H56">
        <v>4</v>
      </c>
      <c r="I56">
        <v>0</v>
      </c>
      <c r="J56">
        <v>2</v>
      </c>
      <c r="K56" t="s">
        <v>78</v>
      </c>
      <c r="L56" s="18">
        <v>0.63749999999999996</v>
      </c>
      <c r="M56" t="s">
        <v>78</v>
      </c>
      <c r="N56" s="18">
        <v>0.70416666666666672</v>
      </c>
      <c r="O56" t="s">
        <v>12</v>
      </c>
      <c r="P56" t="s">
        <v>15</v>
      </c>
      <c r="Q56" t="s">
        <v>14</v>
      </c>
      <c r="T56" s="18">
        <v>0</v>
      </c>
      <c r="W56" s="18">
        <v>0</v>
      </c>
      <c r="Y56">
        <v>0</v>
      </c>
      <c r="Z56">
        <v>0</v>
      </c>
      <c r="AB56" t="s">
        <v>22</v>
      </c>
      <c r="AC56">
        <v>19</v>
      </c>
    </row>
    <row r="57" spans="1:29" x14ac:dyDescent="0.25">
      <c r="A57">
        <v>133289546</v>
      </c>
      <c r="B57">
        <v>2031294336</v>
      </c>
      <c r="C57">
        <v>20</v>
      </c>
      <c r="E57" t="s">
        <v>10</v>
      </c>
      <c r="F57" t="s">
        <v>221</v>
      </c>
      <c r="G57">
        <v>1</v>
      </c>
      <c r="H57">
        <v>1</v>
      </c>
      <c r="I57">
        <v>0</v>
      </c>
      <c r="J57">
        <v>1</v>
      </c>
      <c r="K57" t="s">
        <v>78</v>
      </c>
      <c r="L57" s="18">
        <v>0.70416666666666672</v>
      </c>
      <c r="M57" t="s">
        <v>88</v>
      </c>
      <c r="N57" s="18">
        <v>0.32083333333333336</v>
      </c>
      <c r="O57" t="s">
        <v>12</v>
      </c>
      <c r="P57" t="s">
        <v>15</v>
      </c>
      <c r="Q57" t="s">
        <v>14</v>
      </c>
      <c r="T57" s="18">
        <v>0</v>
      </c>
      <c r="W57" s="18">
        <v>0</v>
      </c>
      <c r="Y57">
        <v>0</v>
      </c>
      <c r="Z57">
        <v>0</v>
      </c>
      <c r="AB57" t="s">
        <v>22</v>
      </c>
      <c r="AC57">
        <v>19</v>
      </c>
    </row>
    <row r="58" spans="1:29" x14ac:dyDescent="0.25">
      <c r="A58">
        <v>133289548</v>
      </c>
      <c r="B58">
        <v>2031294336</v>
      </c>
      <c r="C58">
        <v>40</v>
      </c>
      <c r="E58" t="s">
        <v>10</v>
      </c>
      <c r="F58" t="s">
        <v>222</v>
      </c>
      <c r="G58">
        <v>1</v>
      </c>
      <c r="H58">
        <v>1</v>
      </c>
      <c r="I58">
        <v>0</v>
      </c>
      <c r="J58">
        <v>1</v>
      </c>
      <c r="K58" t="s">
        <v>88</v>
      </c>
      <c r="L58" s="18">
        <v>0.42083333333333334</v>
      </c>
      <c r="M58" t="s">
        <v>88</v>
      </c>
      <c r="N58" s="18">
        <v>0.45416666666666666</v>
      </c>
      <c r="O58" t="s">
        <v>12</v>
      </c>
      <c r="P58" t="s">
        <v>15</v>
      </c>
      <c r="Q58" t="s">
        <v>14</v>
      </c>
      <c r="T58" s="18">
        <v>0</v>
      </c>
      <c r="W58" s="18">
        <v>0</v>
      </c>
      <c r="Y58">
        <v>0</v>
      </c>
      <c r="Z58">
        <v>0</v>
      </c>
      <c r="AB58" t="s">
        <v>22</v>
      </c>
      <c r="AC58">
        <v>19</v>
      </c>
    </row>
    <row r="59" spans="1:29" x14ac:dyDescent="0.25">
      <c r="A59">
        <v>133289549</v>
      </c>
      <c r="B59">
        <v>2031294336</v>
      </c>
      <c r="C59">
        <v>50</v>
      </c>
      <c r="E59" t="s">
        <v>10</v>
      </c>
      <c r="F59" t="s">
        <v>223</v>
      </c>
      <c r="G59">
        <v>2</v>
      </c>
      <c r="H59">
        <v>4</v>
      </c>
      <c r="I59">
        <v>0</v>
      </c>
      <c r="J59">
        <v>2</v>
      </c>
      <c r="K59" t="s">
        <v>88</v>
      </c>
      <c r="L59" s="18">
        <v>0.45416666666666666</v>
      </c>
      <c r="M59" t="s">
        <v>88</v>
      </c>
      <c r="N59" s="18">
        <v>0.5625</v>
      </c>
      <c r="O59" t="s">
        <v>12</v>
      </c>
      <c r="P59" t="s">
        <v>15</v>
      </c>
      <c r="Q59" t="s">
        <v>14</v>
      </c>
      <c r="T59" s="18">
        <v>0</v>
      </c>
      <c r="W59" s="18">
        <v>0</v>
      </c>
      <c r="Y59">
        <v>0</v>
      </c>
      <c r="Z59">
        <v>0</v>
      </c>
      <c r="AB59" t="s">
        <v>22</v>
      </c>
      <c r="AC59">
        <v>19</v>
      </c>
    </row>
    <row r="60" spans="1:29" x14ac:dyDescent="0.25">
      <c r="A60">
        <v>133289550</v>
      </c>
      <c r="B60">
        <v>2031294336</v>
      </c>
      <c r="C60">
        <v>60</v>
      </c>
      <c r="E60" t="s">
        <v>10</v>
      </c>
      <c r="F60" t="s">
        <v>224</v>
      </c>
      <c r="G60">
        <v>1</v>
      </c>
      <c r="H60">
        <v>0.2</v>
      </c>
      <c r="I60">
        <v>0</v>
      </c>
      <c r="J60">
        <v>0.2</v>
      </c>
      <c r="K60" t="s">
        <v>88</v>
      </c>
      <c r="L60" s="18">
        <v>0.5625</v>
      </c>
      <c r="M60" t="s">
        <v>88</v>
      </c>
      <c r="N60" s="18">
        <v>0.56916666666666671</v>
      </c>
      <c r="O60" t="s">
        <v>12</v>
      </c>
      <c r="P60" t="s">
        <v>15</v>
      </c>
      <c r="Q60" t="s">
        <v>14</v>
      </c>
      <c r="T60" s="18">
        <v>0</v>
      </c>
      <c r="W60" s="18">
        <v>0</v>
      </c>
      <c r="Y60">
        <v>0</v>
      </c>
      <c r="Z60">
        <v>0</v>
      </c>
      <c r="AB60" t="s">
        <v>22</v>
      </c>
      <c r="AC60">
        <v>19</v>
      </c>
    </row>
    <row r="61" spans="1:29" x14ac:dyDescent="0.25">
      <c r="A61">
        <v>133414415</v>
      </c>
      <c r="B61">
        <v>2031322562</v>
      </c>
      <c r="C61">
        <v>40</v>
      </c>
      <c r="E61" t="s">
        <v>10</v>
      </c>
      <c r="F61" t="s">
        <v>225</v>
      </c>
      <c r="G61">
        <v>2</v>
      </c>
      <c r="H61">
        <v>2</v>
      </c>
      <c r="I61">
        <v>0</v>
      </c>
      <c r="J61">
        <v>1</v>
      </c>
      <c r="K61" t="s">
        <v>66</v>
      </c>
      <c r="L61" s="18">
        <v>0.3125</v>
      </c>
      <c r="M61" t="s">
        <v>66</v>
      </c>
      <c r="N61" s="18">
        <v>0.35416666666666669</v>
      </c>
      <c r="O61" t="s">
        <v>12</v>
      </c>
      <c r="P61" t="s">
        <v>15</v>
      </c>
      <c r="Q61" t="s">
        <v>14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22</v>
      </c>
      <c r="AC61">
        <v>19</v>
      </c>
    </row>
    <row r="62" spans="1:29" x14ac:dyDescent="0.25">
      <c r="A62">
        <v>133414416</v>
      </c>
      <c r="B62">
        <v>2031322562</v>
      </c>
      <c r="C62">
        <v>50</v>
      </c>
      <c r="E62" t="s">
        <v>10</v>
      </c>
      <c r="F62" t="s">
        <v>226</v>
      </c>
      <c r="G62">
        <v>2</v>
      </c>
      <c r="H62">
        <v>6</v>
      </c>
      <c r="I62">
        <v>0</v>
      </c>
      <c r="J62">
        <v>3</v>
      </c>
      <c r="K62" t="s">
        <v>66</v>
      </c>
      <c r="L62" s="18">
        <v>0.35416666666666669</v>
      </c>
      <c r="M62" t="s">
        <v>66</v>
      </c>
      <c r="N62" s="18">
        <v>0.47916666666666669</v>
      </c>
      <c r="O62" t="s">
        <v>12</v>
      </c>
      <c r="P62" t="s">
        <v>15</v>
      </c>
      <c r="Q62" t="s">
        <v>14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22</v>
      </c>
      <c r="AC62">
        <v>19</v>
      </c>
    </row>
    <row r="63" spans="1:29" x14ac:dyDescent="0.25">
      <c r="A63">
        <v>133878648</v>
      </c>
      <c r="B63">
        <v>2031322562</v>
      </c>
      <c r="C63">
        <v>110</v>
      </c>
      <c r="E63" t="s">
        <v>10</v>
      </c>
      <c r="F63" t="s">
        <v>227</v>
      </c>
      <c r="G63">
        <v>2</v>
      </c>
      <c r="H63">
        <v>8</v>
      </c>
      <c r="I63">
        <v>0</v>
      </c>
      <c r="J63">
        <v>4</v>
      </c>
      <c r="K63" t="s">
        <v>64</v>
      </c>
      <c r="L63" s="18">
        <v>0.41666666666666669</v>
      </c>
      <c r="M63" t="s">
        <v>64</v>
      </c>
      <c r="N63" s="18">
        <v>0.625</v>
      </c>
      <c r="O63" t="s">
        <v>12</v>
      </c>
      <c r="P63" t="s">
        <v>15</v>
      </c>
      <c r="Q63" t="s">
        <v>14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22</v>
      </c>
      <c r="AC63">
        <v>19</v>
      </c>
    </row>
    <row r="64" spans="1:29" x14ac:dyDescent="0.25">
      <c r="A64">
        <v>133415109</v>
      </c>
      <c r="B64">
        <v>2031322722</v>
      </c>
      <c r="C64">
        <v>40</v>
      </c>
      <c r="E64" t="s">
        <v>10</v>
      </c>
      <c r="F64" t="s">
        <v>228</v>
      </c>
      <c r="G64">
        <v>2</v>
      </c>
      <c r="H64">
        <v>2</v>
      </c>
      <c r="I64">
        <v>0</v>
      </c>
      <c r="J64">
        <v>1</v>
      </c>
      <c r="K64" t="s">
        <v>66</v>
      </c>
      <c r="L64" s="18">
        <v>0.3125</v>
      </c>
      <c r="M64" t="s">
        <v>66</v>
      </c>
      <c r="N64" s="18">
        <v>0.35416666666666669</v>
      </c>
      <c r="O64" t="s">
        <v>12</v>
      </c>
      <c r="P64" t="s">
        <v>15</v>
      </c>
      <c r="Q64" t="s">
        <v>14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22</v>
      </c>
      <c r="AC64">
        <v>19</v>
      </c>
    </row>
    <row r="65" spans="1:29" x14ac:dyDescent="0.25">
      <c r="A65">
        <v>133415110</v>
      </c>
      <c r="B65">
        <v>2031322722</v>
      </c>
      <c r="C65">
        <v>50</v>
      </c>
      <c r="E65" t="s">
        <v>10</v>
      </c>
      <c r="F65" t="s">
        <v>229</v>
      </c>
      <c r="G65">
        <v>2</v>
      </c>
      <c r="H65">
        <v>6</v>
      </c>
      <c r="I65">
        <v>0</v>
      </c>
      <c r="J65">
        <v>3</v>
      </c>
      <c r="K65" t="s">
        <v>66</v>
      </c>
      <c r="L65" s="18">
        <v>0.35416666666666669</v>
      </c>
      <c r="M65" t="s">
        <v>66</v>
      </c>
      <c r="N65" s="18">
        <v>0.47916666666666669</v>
      </c>
      <c r="O65" t="s">
        <v>12</v>
      </c>
      <c r="P65" t="s">
        <v>15</v>
      </c>
      <c r="Q65" t="s">
        <v>14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22</v>
      </c>
      <c r="AC65">
        <v>19</v>
      </c>
    </row>
    <row r="66" spans="1:29" x14ac:dyDescent="0.25">
      <c r="A66">
        <v>133415958</v>
      </c>
      <c r="B66">
        <v>2031322890</v>
      </c>
      <c r="C66">
        <v>40</v>
      </c>
      <c r="E66" t="s">
        <v>10</v>
      </c>
      <c r="F66" t="s">
        <v>230</v>
      </c>
      <c r="G66">
        <v>2</v>
      </c>
      <c r="H66">
        <v>2</v>
      </c>
      <c r="I66">
        <v>0</v>
      </c>
      <c r="J66">
        <v>1</v>
      </c>
      <c r="K66" t="s">
        <v>66</v>
      </c>
      <c r="L66" s="18">
        <v>0.3125</v>
      </c>
      <c r="M66" t="s">
        <v>66</v>
      </c>
      <c r="N66" s="18">
        <v>0.35416666666666669</v>
      </c>
      <c r="O66" t="s">
        <v>12</v>
      </c>
      <c r="P66" t="s">
        <v>15</v>
      </c>
      <c r="Q66" t="s">
        <v>14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22</v>
      </c>
      <c r="AC66">
        <v>19</v>
      </c>
    </row>
    <row r="67" spans="1:29" x14ac:dyDescent="0.25">
      <c r="A67">
        <v>133415959</v>
      </c>
      <c r="B67">
        <v>2031322890</v>
      </c>
      <c r="C67">
        <v>50</v>
      </c>
      <c r="E67" t="s">
        <v>10</v>
      </c>
      <c r="F67" t="s">
        <v>231</v>
      </c>
      <c r="G67">
        <v>2</v>
      </c>
      <c r="H67">
        <v>6</v>
      </c>
      <c r="I67">
        <v>0</v>
      </c>
      <c r="J67">
        <v>3</v>
      </c>
      <c r="K67" t="s">
        <v>66</v>
      </c>
      <c r="L67" s="18">
        <v>0.4375</v>
      </c>
      <c r="M67" t="s">
        <v>66</v>
      </c>
      <c r="N67" s="18">
        <v>0.60416666666666663</v>
      </c>
      <c r="O67" t="s">
        <v>12</v>
      </c>
      <c r="P67" t="s">
        <v>15</v>
      </c>
      <c r="Q67" t="s">
        <v>14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22</v>
      </c>
      <c r="AC67">
        <v>19</v>
      </c>
    </row>
    <row r="68" spans="1:29" x14ac:dyDescent="0.25">
      <c r="A68">
        <v>133817098</v>
      </c>
      <c r="B68">
        <v>2031324300</v>
      </c>
      <c r="C68">
        <v>140</v>
      </c>
      <c r="E68" t="s">
        <v>10</v>
      </c>
      <c r="F68" t="s">
        <v>63</v>
      </c>
      <c r="G68">
        <v>1</v>
      </c>
      <c r="H68">
        <v>0.2</v>
      </c>
      <c r="I68">
        <v>0</v>
      </c>
      <c r="J68">
        <v>0.2</v>
      </c>
      <c r="K68" t="s">
        <v>66</v>
      </c>
      <c r="L68" s="18">
        <v>0.37916666666666665</v>
      </c>
      <c r="M68" t="s">
        <v>66</v>
      </c>
      <c r="N68" s="18">
        <v>0.38583333333333331</v>
      </c>
      <c r="O68" t="s">
        <v>12</v>
      </c>
      <c r="P68" t="s">
        <v>15</v>
      </c>
      <c r="Q68" t="s">
        <v>14</v>
      </c>
      <c r="T68" s="18">
        <v>0</v>
      </c>
      <c r="W68" s="18">
        <v>0</v>
      </c>
      <c r="Y68">
        <v>0</v>
      </c>
      <c r="Z68">
        <v>0</v>
      </c>
      <c r="AB68" t="s">
        <v>22</v>
      </c>
      <c r="AC68">
        <v>19</v>
      </c>
    </row>
    <row r="69" spans="1:29" x14ac:dyDescent="0.25">
      <c r="A69">
        <v>133882082</v>
      </c>
      <c r="B69">
        <v>2031392949</v>
      </c>
      <c r="C69">
        <v>20</v>
      </c>
      <c r="E69" t="s">
        <v>10</v>
      </c>
      <c r="F69" t="s">
        <v>232</v>
      </c>
      <c r="G69">
        <v>2</v>
      </c>
      <c r="H69">
        <v>10</v>
      </c>
      <c r="I69">
        <v>0</v>
      </c>
      <c r="J69">
        <v>5</v>
      </c>
      <c r="K69" t="s">
        <v>66</v>
      </c>
      <c r="L69" s="18">
        <v>0.375</v>
      </c>
      <c r="M69" t="s">
        <v>66</v>
      </c>
      <c r="N69" s="18">
        <v>0.625</v>
      </c>
      <c r="O69" t="s">
        <v>12</v>
      </c>
      <c r="P69" t="s">
        <v>15</v>
      </c>
      <c r="Q69" t="s">
        <v>14</v>
      </c>
      <c r="T69" s="18">
        <v>0</v>
      </c>
      <c r="W69" s="18">
        <v>0</v>
      </c>
      <c r="Y69">
        <v>0</v>
      </c>
      <c r="Z69">
        <v>0</v>
      </c>
      <c r="AB69" t="s">
        <v>22</v>
      </c>
      <c r="AC69">
        <v>19</v>
      </c>
    </row>
    <row r="70" spans="1:29" x14ac:dyDescent="0.25">
      <c r="A70">
        <v>133882083</v>
      </c>
      <c r="B70">
        <v>2031392949</v>
      </c>
      <c r="C70">
        <v>30</v>
      </c>
      <c r="E70" t="s">
        <v>10</v>
      </c>
      <c r="F70" t="s">
        <v>233</v>
      </c>
      <c r="G70">
        <v>2</v>
      </c>
      <c r="H70">
        <v>24</v>
      </c>
      <c r="I70">
        <v>0</v>
      </c>
      <c r="J70">
        <v>12</v>
      </c>
      <c r="K70" t="s">
        <v>66</v>
      </c>
      <c r="L70" s="18">
        <v>0.625</v>
      </c>
      <c r="M70" t="s">
        <v>78</v>
      </c>
      <c r="N70" s="18">
        <v>0.33333333333333331</v>
      </c>
      <c r="O70" t="s">
        <v>12</v>
      </c>
      <c r="P70" t="s">
        <v>15</v>
      </c>
      <c r="Q70" t="s">
        <v>14</v>
      </c>
      <c r="T70" s="18">
        <v>0</v>
      </c>
      <c r="W70" s="18">
        <v>0</v>
      </c>
      <c r="Y70">
        <v>0</v>
      </c>
      <c r="Z70">
        <v>0</v>
      </c>
      <c r="AB70" t="s">
        <v>22</v>
      </c>
      <c r="AC70">
        <v>19</v>
      </c>
    </row>
    <row r="71" spans="1:29" x14ac:dyDescent="0.25">
      <c r="A71">
        <v>133882086</v>
      </c>
      <c r="B71">
        <v>2031392949</v>
      </c>
      <c r="C71">
        <v>50</v>
      </c>
      <c r="E71" t="s">
        <v>10</v>
      </c>
      <c r="F71" t="s">
        <v>234</v>
      </c>
      <c r="G71">
        <v>2</v>
      </c>
      <c r="H71">
        <v>10</v>
      </c>
      <c r="I71">
        <v>0</v>
      </c>
      <c r="J71">
        <v>5</v>
      </c>
      <c r="K71" t="s">
        <v>78</v>
      </c>
      <c r="L71" s="18">
        <v>0.375</v>
      </c>
      <c r="M71" t="s">
        <v>78</v>
      </c>
      <c r="N71" s="18">
        <v>0.625</v>
      </c>
      <c r="O71" t="s">
        <v>12</v>
      </c>
      <c r="P71" t="s">
        <v>15</v>
      </c>
      <c r="Q71" t="s">
        <v>14</v>
      </c>
      <c r="T71" s="18">
        <v>0</v>
      </c>
      <c r="W71" s="18">
        <v>0</v>
      </c>
      <c r="Y71">
        <v>0</v>
      </c>
      <c r="Z71">
        <v>0</v>
      </c>
      <c r="AB71" t="s">
        <v>22</v>
      </c>
      <c r="AC71">
        <v>19</v>
      </c>
    </row>
    <row r="72" spans="1:29" x14ac:dyDescent="0.25">
      <c r="A72">
        <v>133883085</v>
      </c>
      <c r="B72">
        <v>2031392949</v>
      </c>
      <c r="C72">
        <v>70</v>
      </c>
      <c r="E72" t="s">
        <v>10</v>
      </c>
      <c r="F72" t="s">
        <v>235</v>
      </c>
      <c r="G72">
        <v>1</v>
      </c>
      <c r="H72">
        <v>0.2</v>
      </c>
      <c r="I72">
        <v>0</v>
      </c>
      <c r="J72">
        <v>0.2</v>
      </c>
      <c r="K72" t="s">
        <v>78</v>
      </c>
      <c r="L72" s="18">
        <v>0.6875</v>
      </c>
      <c r="M72" t="s">
        <v>78</v>
      </c>
      <c r="N72" s="18">
        <v>0.6958333333333333</v>
      </c>
      <c r="O72" t="s">
        <v>12</v>
      </c>
      <c r="P72" t="s">
        <v>15</v>
      </c>
      <c r="Q72" t="s">
        <v>14</v>
      </c>
      <c r="T72" s="18">
        <v>0</v>
      </c>
      <c r="W72" s="18">
        <v>0</v>
      </c>
      <c r="Y72">
        <v>0</v>
      </c>
      <c r="Z72">
        <v>0</v>
      </c>
      <c r="AB72" t="s">
        <v>22</v>
      </c>
      <c r="AC72">
        <v>19</v>
      </c>
    </row>
    <row r="73" spans="1:29" x14ac:dyDescent="0.25">
      <c r="L73" s="18"/>
      <c r="N73" s="18"/>
      <c r="T73" s="18"/>
      <c r="W73" s="18"/>
    </row>
    <row r="74" spans="1:29" x14ac:dyDescent="0.25">
      <c r="L74" s="18"/>
      <c r="N74" s="18"/>
      <c r="T74" s="18"/>
      <c r="W74" s="18"/>
    </row>
    <row r="75" spans="1:29" x14ac:dyDescent="0.25">
      <c r="L75" s="18"/>
      <c r="N75" s="18"/>
      <c r="T75" s="18"/>
      <c r="W75" s="18"/>
    </row>
    <row r="76" spans="1:29" x14ac:dyDescent="0.25">
      <c r="L76" s="18"/>
      <c r="N76" s="18"/>
      <c r="T76" s="18"/>
      <c r="W76" s="18"/>
    </row>
    <row r="77" spans="1:29" x14ac:dyDescent="0.25">
      <c r="L77" s="18"/>
      <c r="N77" s="18"/>
      <c r="T77" s="18"/>
      <c r="W77" s="18"/>
    </row>
    <row r="78" spans="1:29" x14ac:dyDescent="0.25">
      <c r="L78" s="18"/>
      <c r="N78" s="18"/>
      <c r="T78" s="18"/>
      <c r="W78" s="18"/>
    </row>
    <row r="79" spans="1:29" x14ac:dyDescent="0.25">
      <c r="L79" s="18"/>
      <c r="N79" s="18"/>
      <c r="T79" s="18"/>
      <c r="W79" s="18"/>
    </row>
    <row r="80" spans="1:29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topLeftCell="A15" workbookViewId="0">
      <selection activeCell="A42" sqref="A42:TQ1016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500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130653187</v>
      </c>
      <c r="B3">
        <v>2026535732</v>
      </c>
      <c r="C3">
        <v>615</v>
      </c>
      <c r="E3" t="s">
        <v>11</v>
      </c>
      <c r="F3" t="s">
        <v>288</v>
      </c>
      <c r="G3">
        <v>8</v>
      </c>
      <c r="H3">
        <v>48</v>
      </c>
      <c r="I3">
        <v>0</v>
      </c>
      <c r="J3">
        <v>6</v>
      </c>
      <c r="K3" t="s">
        <v>66</v>
      </c>
      <c r="L3" s="18">
        <v>0.3125</v>
      </c>
      <c r="M3" t="s">
        <v>66</v>
      </c>
      <c r="N3" s="18">
        <v>0.60416666666666663</v>
      </c>
      <c r="O3" t="s">
        <v>12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22</v>
      </c>
      <c r="AC3">
        <v>19</v>
      </c>
    </row>
    <row r="4" spans="1:29" x14ac:dyDescent="0.25">
      <c r="A4">
        <v>133483104</v>
      </c>
      <c r="B4">
        <v>2027174131</v>
      </c>
      <c r="C4">
        <v>105</v>
      </c>
      <c r="E4" t="s">
        <v>11</v>
      </c>
      <c r="F4" t="s">
        <v>65</v>
      </c>
      <c r="G4">
        <v>4</v>
      </c>
      <c r="H4">
        <v>8</v>
      </c>
      <c r="I4">
        <v>0</v>
      </c>
      <c r="J4">
        <v>2</v>
      </c>
      <c r="K4" t="s">
        <v>86</v>
      </c>
      <c r="L4" s="18">
        <v>0.47916666666666669</v>
      </c>
      <c r="M4" t="s">
        <v>86</v>
      </c>
      <c r="N4" s="18">
        <v>0.58750000000000002</v>
      </c>
      <c r="O4" t="s">
        <v>51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19</v>
      </c>
    </row>
    <row r="5" spans="1:29" x14ac:dyDescent="0.25">
      <c r="A5">
        <v>127842980</v>
      </c>
      <c r="B5">
        <v>2028854655</v>
      </c>
      <c r="C5">
        <v>125</v>
      </c>
      <c r="E5" t="s">
        <v>11</v>
      </c>
      <c r="F5" t="s">
        <v>289</v>
      </c>
      <c r="G5">
        <v>4</v>
      </c>
      <c r="H5">
        <v>16</v>
      </c>
      <c r="I5">
        <v>0</v>
      </c>
      <c r="J5">
        <v>4</v>
      </c>
      <c r="K5" t="s">
        <v>64</v>
      </c>
      <c r="L5" s="18">
        <v>0.33750000000000002</v>
      </c>
      <c r="M5" t="s">
        <v>64</v>
      </c>
      <c r="N5" s="18">
        <v>0.47083333333333333</v>
      </c>
      <c r="O5" t="s">
        <v>51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22</v>
      </c>
      <c r="AC5">
        <v>19</v>
      </c>
    </row>
    <row r="6" spans="1:29" x14ac:dyDescent="0.25">
      <c r="A6">
        <v>117685860</v>
      </c>
      <c r="B6">
        <v>2028854655</v>
      </c>
      <c r="C6">
        <v>130</v>
      </c>
      <c r="E6" t="s">
        <v>11</v>
      </c>
      <c r="F6" t="s">
        <v>290</v>
      </c>
      <c r="G6">
        <v>4</v>
      </c>
      <c r="H6">
        <v>8</v>
      </c>
      <c r="I6">
        <v>0</v>
      </c>
      <c r="J6">
        <v>2</v>
      </c>
      <c r="K6" t="s">
        <v>64</v>
      </c>
      <c r="L6" s="18">
        <v>0.47083333333333333</v>
      </c>
      <c r="M6" t="s">
        <v>64</v>
      </c>
      <c r="N6" s="18">
        <v>0.57916666666666672</v>
      </c>
      <c r="O6" t="s">
        <v>51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22</v>
      </c>
      <c r="AC6">
        <v>19</v>
      </c>
    </row>
    <row r="7" spans="1:29" x14ac:dyDescent="0.25">
      <c r="A7">
        <v>117685861</v>
      </c>
      <c r="B7">
        <v>2028854655</v>
      </c>
      <c r="C7">
        <v>140</v>
      </c>
      <c r="E7" t="s">
        <v>11</v>
      </c>
      <c r="F7" t="s">
        <v>291</v>
      </c>
      <c r="G7">
        <v>4</v>
      </c>
      <c r="H7">
        <v>12</v>
      </c>
      <c r="I7">
        <v>0</v>
      </c>
      <c r="J7">
        <v>3</v>
      </c>
      <c r="K7" t="s">
        <v>64</v>
      </c>
      <c r="L7" s="18">
        <v>0.57916666666666672</v>
      </c>
      <c r="M7" t="s">
        <v>64</v>
      </c>
      <c r="N7" s="18">
        <v>0.6791666666666667</v>
      </c>
      <c r="O7" t="s">
        <v>51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22</v>
      </c>
      <c r="AC7">
        <v>19</v>
      </c>
    </row>
    <row r="8" spans="1:29" x14ac:dyDescent="0.25">
      <c r="A8">
        <v>119630568</v>
      </c>
      <c r="B8">
        <v>2029164150</v>
      </c>
      <c r="C8">
        <v>70</v>
      </c>
      <c r="E8" t="s">
        <v>11</v>
      </c>
      <c r="F8" t="s">
        <v>292</v>
      </c>
      <c r="G8">
        <v>4</v>
      </c>
      <c r="H8">
        <v>12</v>
      </c>
      <c r="I8">
        <v>0</v>
      </c>
      <c r="J8">
        <v>3</v>
      </c>
      <c r="K8" t="s">
        <v>66</v>
      </c>
      <c r="L8" s="18">
        <v>0.37916666666666665</v>
      </c>
      <c r="M8" t="s">
        <v>66</v>
      </c>
      <c r="N8" s="18">
        <v>0.47916666666666669</v>
      </c>
      <c r="O8" t="s">
        <v>51</v>
      </c>
      <c r="P8" t="s">
        <v>13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C8">
        <v>19</v>
      </c>
    </row>
    <row r="9" spans="1:29" x14ac:dyDescent="0.25">
      <c r="A9">
        <v>121203140</v>
      </c>
      <c r="B9">
        <v>2029456516</v>
      </c>
      <c r="C9">
        <v>10</v>
      </c>
      <c r="E9" t="s">
        <v>11</v>
      </c>
      <c r="F9" t="s">
        <v>293</v>
      </c>
      <c r="G9">
        <v>4</v>
      </c>
      <c r="H9">
        <v>32</v>
      </c>
      <c r="I9">
        <v>0</v>
      </c>
      <c r="J9">
        <v>8</v>
      </c>
      <c r="K9" t="s">
        <v>78</v>
      </c>
      <c r="L9" s="18">
        <v>0.39583333333333331</v>
      </c>
      <c r="M9" t="s">
        <v>78</v>
      </c>
      <c r="N9" s="18">
        <v>0.70416666666666672</v>
      </c>
      <c r="O9" t="s">
        <v>51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19</v>
      </c>
    </row>
    <row r="10" spans="1:29" x14ac:dyDescent="0.25">
      <c r="A10">
        <v>121658367</v>
      </c>
      <c r="B10">
        <v>2029544939</v>
      </c>
      <c r="C10">
        <v>80</v>
      </c>
      <c r="E10" t="s">
        <v>11</v>
      </c>
      <c r="F10" t="s">
        <v>294</v>
      </c>
      <c r="G10">
        <v>4</v>
      </c>
      <c r="H10">
        <v>16</v>
      </c>
      <c r="I10">
        <v>0</v>
      </c>
      <c r="J10">
        <v>4</v>
      </c>
      <c r="K10" t="s">
        <v>66</v>
      </c>
      <c r="L10" s="18">
        <v>0.62083333333333335</v>
      </c>
      <c r="M10" t="s">
        <v>64</v>
      </c>
      <c r="N10" s="18">
        <v>0.33750000000000002</v>
      </c>
      <c r="O10" t="s">
        <v>51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B10" t="s">
        <v>22</v>
      </c>
      <c r="AC10">
        <v>19</v>
      </c>
    </row>
    <row r="11" spans="1:29" x14ac:dyDescent="0.25">
      <c r="A11">
        <v>121917856</v>
      </c>
      <c r="B11">
        <v>2029544939</v>
      </c>
      <c r="C11">
        <v>190</v>
      </c>
      <c r="E11" t="s">
        <v>11</v>
      </c>
      <c r="F11" t="s">
        <v>295</v>
      </c>
      <c r="G11">
        <v>4</v>
      </c>
      <c r="H11">
        <v>8</v>
      </c>
      <c r="I11">
        <v>0</v>
      </c>
      <c r="J11">
        <v>2</v>
      </c>
      <c r="K11" t="s">
        <v>78</v>
      </c>
      <c r="L11" s="18">
        <v>0.71083333333333332</v>
      </c>
      <c r="M11" t="s">
        <v>88</v>
      </c>
      <c r="N11" s="18">
        <v>0.36083333333333334</v>
      </c>
      <c r="O11" t="s">
        <v>51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B11" t="s">
        <v>22</v>
      </c>
      <c r="AC11">
        <v>19</v>
      </c>
    </row>
    <row r="12" spans="1:29" x14ac:dyDescent="0.25">
      <c r="A12">
        <v>122072715</v>
      </c>
      <c r="B12">
        <v>2029587443</v>
      </c>
      <c r="C12">
        <v>110</v>
      </c>
      <c r="E12" t="s">
        <v>11</v>
      </c>
      <c r="F12" t="s">
        <v>296</v>
      </c>
      <c r="G12">
        <v>4</v>
      </c>
      <c r="H12">
        <v>8</v>
      </c>
      <c r="I12">
        <v>0</v>
      </c>
      <c r="J12">
        <v>2</v>
      </c>
      <c r="K12" t="s">
        <v>66</v>
      </c>
      <c r="L12" s="18">
        <v>0.4375</v>
      </c>
      <c r="M12" t="s">
        <v>66</v>
      </c>
      <c r="N12" s="18">
        <v>0.5625</v>
      </c>
      <c r="O12" t="s">
        <v>21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22</v>
      </c>
      <c r="AC12">
        <v>19</v>
      </c>
    </row>
    <row r="13" spans="1:29" x14ac:dyDescent="0.25">
      <c r="A13">
        <v>123830426</v>
      </c>
      <c r="B13">
        <v>2029648028</v>
      </c>
      <c r="C13">
        <v>50</v>
      </c>
      <c r="E13" t="s">
        <v>11</v>
      </c>
      <c r="F13" t="s">
        <v>297</v>
      </c>
      <c r="G13">
        <v>4</v>
      </c>
      <c r="H13">
        <v>8</v>
      </c>
      <c r="I13">
        <v>0</v>
      </c>
      <c r="J13">
        <v>2</v>
      </c>
      <c r="K13" t="s">
        <v>86</v>
      </c>
      <c r="L13" s="18">
        <v>0.35416666666666669</v>
      </c>
      <c r="M13" t="s">
        <v>86</v>
      </c>
      <c r="N13" s="18">
        <v>0.42083333333333334</v>
      </c>
      <c r="O13" t="s">
        <v>51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19</v>
      </c>
    </row>
    <row r="14" spans="1:29" x14ac:dyDescent="0.25">
      <c r="A14">
        <v>133866007</v>
      </c>
      <c r="B14">
        <v>2029880370</v>
      </c>
      <c r="C14">
        <v>25</v>
      </c>
      <c r="E14" t="s">
        <v>11</v>
      </c>
      <c r="F14" t="s">
        <v>298</v>
      </c>
      <c r="G14">
        <v>4</v>
      </c>
      <c r="H14">
        <v>16</v>
      </c>
      <c r="I14">
        <v>0</v>
      </c>
      <c r="J14">
        <v>4</v>
      </c>
      <c r="K14" t="s">
        <v>64</v>
      </c>
      <c r="L14" s="18">
        <v>0.3775</v>
      </c>
      <c r="M14" t="s">
        <v>64</v>
      </c>
      <c r="N14" s="18">
        <v>0.55249999999999999</v>
      </c>
      <c r="O14" t="s">
        <v>12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B14" t="s">
        <v>22</v>
      </c>
      <c r="AC14">
        <v>19</v>
      </c>
    </row>
    <row r="15" spans="1:29" x14ac:dyDescent="0.25">
      <c r="A15">
        <v>133885610</v>
      </c>
      <c r="B15">
        <v>2030341896</v>
      </c>
      <c r="C15">
        <v>288</v>
      </c>
      <c r="E15" t="s">
        <v>11</v>
      </c>
      <c r="F15" t="s">
        <v>299</v>
      </c>
      <c r="G15">
        <v>4</v>
      </c>
      <c r="H15">
        <v>16</v>
      </c>
      <c r="I15">
        <v>0</v>
      </c>
      <c r="J15">
        <v>4</v>
      </c>
      <c r="K15" t="s">
        <v>78</v>
      </c>
      <c r="L15" s="18">
        <v>0.54416666666666669</v>
      </c>
      <c r="M15" t="s">
        <v>78</v>
      </c>
      <c r="N15" s="18">
        <v>0.67749999999999999</v>
      </c>
      <c r="O15" t="s">
        <v>12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B15" t="s">
        <v>22</v>
      </c>
      <c r="AC15">
        <v>19</v>
      </c>
    </row>
    <row r="16" spans="1:29" x14ac:dyDescent="0.25">
      <c r="A16">
        <v>127922022</v>
      </c>
      <c r="B16">
        <v>2030517273</v>
      </c>
      <c r="C16">
        <v>60</v>
      </c>
      <c r="E16" t="s">
        <v>11</v>
      </c>
      <c r="F16" t="s">
        <v>300</v>
      </c>
      <c r="G16">
        <v>4</v>
      </c>
      <c r="H16">
        <v>16</v>
      </c>
      <c r="I16">
        <v>0</v>
      </c>
      <c r="J16">
        <v>4</v>
      </c>
      <c r="K16" t="s">
        <v>88</v>
      </c>
      <c r="L16" s="18">
        <v>0.36083333333333334</v>
      </c>
      <c r="M16" t="s">
        <v>88</v>
      </c>
      <c r="N16" s="18">
        <v>0.49416666666666664</v>
      </c>
      <c r="O16" t="s">
        <v>12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B16" t="s">
        <v>22</v>
      </c>
      <c r="AC16">
        <v>19</v>
      </c>
    </row>
    <row r="17" spans="1:29" x14ac:dyDescent="0.25">
      <c r="A17">
        <v>129093994</v>
      </c>
      <c r="B17">
        <v>2030708890</v>
      </c>
      <c r="C17">
        <v>155</v>
      </c>
      <c r="E17" t="s">
        <v>11</v>
      </c>
      <c r="F17" t="s">
        <v>301</v>
      </c>
      <c r="G17">
        <v>4</v>
      </c>
      <c r="H17">
        <v>8</v>
      </c>
      <c r="I17">
        <v>0</v>
      </c>
      <c r="J17">
        <v>2</v>
      </c>
      <c r="K17" t="s">
        <v>78</v>
      </c>
      <c r="L17" s="18">
        <v>0.72083333333333333</v>
      </c>
      <c r="M17" t="s">
        <v>88</v>
      </c>
      <c r="N17" s="18">
        <v>0.37083333333333335</v>
      </c>
      <c r="O17" t="s">
        <v>12</v>
      </c>
      <c r="P17" t="s">
        <v>15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22</v>
      </c>
      <c r="AC17">
        <v>19</v>
      </c>
    </row>
    <row r="18" spans="1:29" x14ac:dyDescent="0.25">
      <c r="A18">
        <v>129248541</v>
      </c>
      <c r="B18">
        <v>2030733833</v>
      </c>
      <c r="C18">
        <v>51</v>
      </c>
      <c r="E18" t="s">
        <v>11</v>
      </c>
      <c r="F18" t="s">
        <v>302</v>
      </c>
      <c r="G18">
        <v>4</v>
      </c>
      <c r="H18">
        <v>12</v>
      </c>
      <c r="I18">
        <v>0</v>
      </c>
      <c r="J18">
        <v>3</v>
      </c>
      <c r="K18" t="s">
        <v>64</v>
      </c>
      <c r="L18" s="18">
        <v>0.38250000000000001</v>
      </c>
      <c r="M18" t="s">
        <v>64</v>
      </c>
      <c r="N18" s="18">
        <v>0.48249999999999998</v>
      </c>
      <c r="O18" t="s">
        <v>51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B18" t="s">
        <v>22</v>
      </c>
      <c r="AC18">
        <v>19</v>
      </c>
    </row>
    <row r="19" spans="1:29" x14ac:dyDescent="0.25">
      <c r="A19">
        <v>133693780</v>
      </c>
      <c r="B19">
        <v>2030804008</v>
      </c>
      <c r="C19">
        <v>5</v>
      </c>
      <c r="E19" t="s">
        <v>11</v>
      </c>
      <c r="F19" t="s">
        <v>303</v>
      </c>
      <c r="G19">
        <v>4</v>
      </c>
      <c r="H19">
        <v>8</v>
      </c>
      <c r="I19">
        <v>0</v>
      </c>
      <c r="J19">
        <v>2</v>
      </c>
      <c r="K19" t="s">
        <v>86</v>
      </c>
      <c r="L19" s="18">
        <v>0.60416666666666663</v>
      </c>
      <c r="M19" t="s">
        <v>86</v>
      </c>
      <c r="N19" s="18">
        <v>0.67083333333333328</v>
      </c>
      <c r="O19" t="s">
        <v>51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22</v>
      </c>
      <c r="AC19">
        <v>19</v>
      </c>
    </row>
    <row r="20" spans="1:29" x14ac:dyDescent="0.25">
      <c r="A20">
        <v>131350058</v>
      </c>
      <c r="B20">
        <v>2030853726</v>
      </c>
      <c r="C20">
        <v>421</v>
      </c>
      <c r="E20" t="s">
        <v>11</v>
      </c>
      <c r="F20" t="s">
        <v>304</v>
      </c>
      <c r="G20">
        <v>4</v>
      </c>
      <c r="H20">
        <v>8</v>
      </c>
      <c r="I20">
        <v>0</v>
      </c>
      <c r="J20">
        <v>2</v>
      </c>
      <c r="K20" t="s">
        <v>66</v>
      </c>
      <c r="L20" s="18">
        <v>0.37916666666666665</v>
      </c>
      <c r="M20" t="s">
        <v>66</v>
      </c>
      <c r="N20" s="18">
        <v>0.44583333333333336</v>
      </c>
      <c r="O20" t="s">
        <v>51</v>
      </c>
      <c r="P20" t="s">
        <v>13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B20" t="s">
        <v>22</v>
      </c>
      <c r="AC20">
        <v>19</v>
      </c>
    </row>
    <row r="21" spans="1:29" x14ac:dyDescent="0.25">
      <c r="A21">
        <v>130463153</v>
      </c>
      <c r="B21">
        <v>2030910958</v>
      </c>
      <c r="C21">
        <v>10</v>
      </c>
      <c r="E21" t="s">
        <v>11</v>
      </c>
      <c r="F21" t="s">
        <v>305</v>
      </c>
      <c r="G21">
        <v>4</v>
      </c>
      <c r="H21">
        <v>16</v>
      </c>
      <c r="I21">
        <v>0</v>
      </c>
      <c r="J21">
        <v>4</v>
      </c>
      <c r="K21" t="s">
        <v>66</v>
      </c>
      <c r="L21" s="18">
        <v>0.44583333333333336</v>
      </c>
      <c r="M21" t="s">
        <v>66</v>
      </c>
      <c r="N21" s="18">
        <v>0.62083333333333335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19</v>
      </c>
    </row>
    <row r="22" spans="1:29" x14ac:dyDescent="0.25">
      <c r="A22">
        <v>130709818</v>
      </c>
      <c r="B22">
        <v>2030944321</v>
      </c>
      <c r="C22">
        <v>10</v>
      </c>
      <c r="E22" t="s">
        <v>11</v>
      </c>
      <c r="F22" t="s">
        <v>306</v>
      </c>
      <c r="G22">
        <v>4</v>
      </c>
      <c r="H22">
        <v>16</v>
      </c>
      <c r="I22">
        <v>0</v>
      </c>
      <c r="J22">
        <v>4</v>
      </c>
      <c r="K22" t="s">
        <v>66</v>
      </c>
      <c r="L22" s="18">
        <v>0.44583333333333336</v>
      </c>
      <c r="M22" t="s">
        <v>66</v>
      </c>
      <c r="N22" s="18">
        <v>0.62083333333333335</v>
      </c>
      <c r="O22" t="s">
        <v>12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22</v>
      </c>
      <c r="AC22">
        <v>19</v>
      </c>
    </row>
    <row r="23" spans="1:29" x14ac:dyDescent="0.25">
      <c r="A23">
        <v>130877021</v>
      </c>
      <c r="B23">
        <v>2030965164</v>
      </c>
      <c r="C23">
        <v>550</v>
      </c>
      <c r="E23" t="s">
        <v>11</v>
      </c>
      <c r="F23" t="s">
        <v>307</v>
      </c>
      <c r="G23">
        <v>4</v>
      </c>
      <c r="H23">
        <v>8</v>
      </c>
      <c r="I23">
        <v>0</v>
      </c>
      <c r="J23">
        <v>2</v>
      </c>
      <c r="K23" t="s">
        <v>66</v>
      </c>
      <c r="L23" s="18">
        <v>0.37916666666666665</v>
      </c>
      <c r="M23" t="s">
        <v>66</v>
      </c>
      <c r="N23" s="18">
        <v>0.44583333333333336</v>
      </c>
      <c r="O23" t="s">
        <v>51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22</v>
      </c>
      <c r="AC23">
        <v>19</v>
      </c>
    </row>
    <row r="24" spans="1:29" x14ac:dyDescent="0.25">
      <c r="A24">
        <v>130877022</v>
      </c>
      <c r="B24">
        <v>2030965164</v>
      </c>
      <c r="C24">
        <v>570</v>
      </c>
      <c r="E24" t="s">
        <v>11</v>
      </c>
      <c r="F24" t="s">
        <v>308</v>
      </c>
      <c r="G24">
        <v>4</v>
      </c>
      <c r="H24">
        <v>8</v>
      </c>
      <c r="I24">
        <v>0</v>
      </c>
      <c r="J24">
        <v>2</v>
      </c>
      <c r="K24" t="s">
        <v>66</v>
      </c>
      <c r="L24" s="18">
        <v>0.3125</v>
      </c>
      <c r="M24" t="s">
        <v>66</v>
      </c>
      <c r="N24" s="18">
        <v>0.37916666666666665</v>
      </c>
      <c r="O24" t="s">
        <v>51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22</v>
      </c>
      <c r="AC24">
        <v>19</v>
      </c>
    </row>
    <row r="25" spans="1:29" x14ac:dyDescent="0.25">
      <c r="A25">
        <v>132226822</v>
      </c>
      <c r="B25">
        <v>2030995505</v>
      </c>
      <c r="C25">
        <v>5</v>
      </c>
      <c r="E25" t="s">
        <v>11</v>
      </c>
      <c r="F25" t="s">
        <v>309</v>
      </c>
      <c r="G25">
        <v>4</v>
      </c>
      <c r="H25">
        <v>8</v>
      </c>
      <c r="I25">
        <v>0</v>
      </c>
      <c r="J25">
        <v>2</v>
      </c>
      <c r="K25" t="s">
        <v>86</v>
      </c>
      <c r="L25" s="18">
        <v>0.62083333333333335</v>
      </c>
      <c r="M25" t="s">
        <v>86</v>
      </c>
      <c r="N25" s="18">
        <v>0.6875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B25" t="s">
        <v>22</v>
      </c>
      <c r="AC25">
        <v>19</v>
      </c>
    </row>
    <row r="26" spans="1:29" x14ac:dyDescent="0.25">
      <c r="A26">
        <v>131972043</v>
      </c>
      <c r="B26">
        <v>2031088984</v>
      </c>
      <c r="C26">
        <v>10</v>
      </c>
      <c r="E26" t="s">
        <v>11</v>
      </c>
      <c r="F26" t="s">
        <v>310</v>
      </c>
      <c r="G26">
        <v>4</v>
      </c>
      <c r="H26">
        <v>32</v>
      </c>
      <c r="I26">
        <v>0</v>
      </c>
      <c r="J26">
        <v>8</v>
      </c>
      <c r="K26" t="s">
        <v>66</v>
      </c>
      <c r="L26" s="18">
        <v>0.3125</v>
      </c>
      <c r="M26" t="s">
        <v>66</v>
      </c>
      <c r="N26" s="18">
        <v>0.6875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B26" t="s">
        <v>22</v>
      </c>
      <c r="AC26">
        <v>19</v>
      </c>
    </row>
    <row r="27" spans="1:29" x14ac:dyDescent="0.25">
      <c r="A27">
        <v>132124194</v>
      </c>
      <c r="B27">
        <v>2031111898</v>
      </c>
      <c r="C27">
        <v>680</v>
      </c>
      <c r="E27" t="s">
        <v>11</v>
      </c>
      <c r="F27" t="s">
        <v>311</v>
      </c>
      <c r="G27">
        <v>4</v>
      </c>
      <c r="H27">
        <v>6</v>
      </c>
      <c r="I27">
        <v>0</v>
      </c>
      <c r="J27">
        <v>1.5</v>
      </c>
      <c r="K27" t="s">
        <v>66</v>
      </c>
      <c r="L27" s="18">
        <v>0.3125</v>
      </c>
      <c r="M27" t="s">
        <v>66</v>
      </c>
      <c r="N27" s="18">
        <v>0.375</v>
      </c>
      <c r="O27" t="s">
        <v>12</v>
      </c>
      <c r="P27" t="s">
        <v>15</v>
      </c>
      <c r="Q27" t="s">
        <v>14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132424929</v>
      </c>
      <c r="B28">
        <v>2031153559</v>
      </c>
      <c r="C28">
        <v>10</v>
      </c>
      <c r="E28" t="s">
        <v>11</v>
      </c>
      <c r="F28" t="s">
        <v>312</v>
      </c>
      <c r="G28">
        <v>4</v>
      </c>
      <c r="H28">
        <v>16</v>
      </c>
      <c r="I28">
        <v>0</v>
      </c>
      <c r="J28">
        <v>4</v>
      </c>
      <c r="K28" t="s">
        <v>66</v>
      </c>
      <c r="L28" s="18">
        <v>0.3125</v>
      </c>
      <c r="M28" t="s">
        <v>66</v>
      </c>
      <c r="N28" s="18">
        <v>0.44583333333333336</v>
      </c>
      <c r="O28" t="s">
        <v>12</v>
      </c>
      <c r="P28" t="s">
        <v>15</v>
      </c>
      <c r="Q28" t="s">
        <v>14</v>
      </c>
      <c r="T28" s="18">
        <v>0</v>
      </c>
      <c r="W28" s="18">
        <v>0</v>
      </c>
      <c r="Y28">
        <v>0</v>
      </c>
      <c r="Z28">
        <v>0</v>
      </c>
      <c r="AB28" t="s">
        <v>22</v>
      </c>
      <c r="AC28">
        <v>19</v>
      </c>
    </row>
    <row r="29" spans="1:29" x14ac:dyDescent="0.25">
      <c r="A29">
        <v>132553339</v>
      </c>
      <c r="B29">
        <v>2031153559</v>
      </c>
      <c r="C29">
        <v>20</v>
      </c>
      <c r="E29" t="s">
        <v>11</v>
      </c>
      <c r="F29" t="s">
        <v>313</v>
      </c>
      <c r="G29">
        <v>4</v>
      </c>
      <c r="H29">
        <v>16</v>
      </c>
      <c r="I29">
        <v>0</v>
      </c>
      <c r="J29">
        <v>4</v>
      </c>
      <c r="K29" t="s">
        <v>66</v>
      </c>
      <c r="L29" s="18">
        <v>0.44583333333333336</v>
      </c>
      <c r="M29" t="s">
        <v>66</v>
      </c>
      <c r="N29" s="18">
        <v>0.62083333333333335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B29" t="s">
        <v>22</v>
      </c>
      <c r="AC29">
        <v>19</v>
      </c>
    </row>
    <row r="30" spans="1:29" x14ac:dyDescent="0.25">
      <c r="A30">
        <v>132553350</v>
      </c>
      <c r="B30">
        <v>2031153559</v>
      </c>
      <c r="C30">
        <v>230</v>
      </c>
      <c r="E30" t="s">
        <v>11</v>
      </c>
      <c r="F30" t="s">
        <v>314</v>
      </c>
      <c r="G30">
        <v>4</v>
      </c>
      <c r="H30">
        <v>8</v>
      </c>
      <c r="I30">
        <v>0</v>
      </c>
      <c r="J30">
        <v>2</v>
      </c>
      <c r="K30" t="s">
        <v>78</v>
      </c>
      <c r="L30" s="18">
        <v>0.5708333333333333</v>
      </c>
      <c r="M30" t="s">
        <v>78</v>
      </c>
      <c r="N30" s="18">
        <v>0.63749999999999996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B30" t="s">
        <v>22</v>
      </c>
      <c r="AC30">
        <v>19</v>
      </c>
    </row>
    <row r="31" spans="1:29" x14ac:dyDescent="0.25">
      <c r="A31">
        <v>132921603</v>
      </c>
      <c r="B31">
        <v>2031173079</v>
      </c>
      <c r="C31">
        <v>30</v>
      </c>
      <c r="E31" t="s">
        <v>11</v>
      </c>
      <c r="F31" t="s">
        <v>315</v>
      </c>
      <c r="G31">
        <v>4</v>
      </c>
      <c r="H31">
        <v>6</v>
      </c>
      <c r="I31">
        <v>0</v>
      </c>
      <c r="J31">
        <v>1.5</v>
      </c>
      <c r="K31" t="s">
        <v>64</v>
      </c>
      <c r="L31" s="18">
        <v>0.55249999999999999</v>
      </c>
      <c r="M31" t="s">
        <v>64</v>
      </c>
      <c r="N31" s="18">
        <v>0.60250000000000004</v>
      </c>
      <c r="O31" t="s">
        <v>21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B31" t="s">
        <v>22</v>
      </c>
      <c r="AC31">
        <v>19</v>
      </c>
    </row>
    <row r="32" spans="1:29" x14ac:dyDescent="0.25">
      <c r="A32">
        <v>133267906</v>
      </c>
      <c r="B32">
        <v>2031202448</v>
      </c>
      <c r="C32">
        <v>30</v>
      </c>
      <c r="D32">
        <v>30</v>
      </c>
      <c r="E32" t="s">
        <v>11</v>
      </c>
      <c r="F32" t="s">
        <v>316</v>
      </c>
      <c r="G32">
        <v>2</v>
      </c>
      <c r="H32">
        <v>8</v>
      </c>
      <c r="I32">
        <v>0</v>
      </c>
      <c r="J32">
        <v>4</v>
      </c>
      <c r="K32" t="s">
        <v>86</v>
      </c>
      <c r="L32" s="18">
        <v>0.39586805555555554</v>
      </c>
      <c r="M32" t="s">
        <v>86</v>
      </c>
      <c r="N32" s="18">
        <v>0.57086805555555553</v>
      </c>
      <c r="O32" t="s">
        <v>12</v>
      </c>
      <c r="P32" t="s">
        <v>15</v>
      </c>
      <c r="Q32" t="s">
        <v>14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22</v>
      </c>
      <c r="AC32">
        <v>19</v>
      </c>
    </row>
    <row r="33" spans="1:29" x14ac:dyDescent="0.25">
      <c r="A33">
        <v>133267898</v>
      </c>
      <c r="B33">
        <v>2031202779</v>
      </c>
      <c r="C33">
        <v>5</v>
      </c>
      <c r="D33">
        <v>30</v>
      </c>
      <c r="E33" t="s">
        <v>11</v>
      </c>
      <c r="F33" t="s">
        <v>317</v>
      </c>
      <c r="G33">
        <v>2</v>
      </c>
      <c r="H33">
        <v>8</v>
      </c>
      <c r="I33">
        <v>0</v>
      </c>
      <c r="J33">
        <v>4</v>
      </c>
      <c r="K33" t="s">
        <v>86</v>
      </c>
      <c r="L33" s="18">
        <v>0.46253472222222225</v>
      </c>
      <c r="M33" t="s">
        <v>86</v>
      </c>
      <c r="N33" s="18">
        <v>0.63753472222222218</v>
      </c>
      <c r="O33" t="s">
        <v>12</v>
      </c>
      <c r="P33" t="s">
        <v>15</v>
      </c>
      <c r="Q33" t="s">
        <v>14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22</v>
      </c>
      <c r="AC33">
        <v>19</v>
      </c>
    </row>
    <row r="34" spans="1:29" x14ac:dyDescent="0.25">
      <c r="A34">
        <v>133107745</v>
      </c>
      <c r="B34">
        <v>2031240660</v>
      </c>
      <c r="C34">
        <v>180</v>
      </c>
      <c r="E34" t="s">
        <v>11</v>
      </c>
      <c r="F34" t="s">
        <v>318</v>
      </c>
      <c r="G34">
        <v>4</v>
      </c>
      <c r="H34">
        <v>16</v>
      </c>
      <c r="I34">
        <v>0</v>
      </c>
      <c r="J34">
        <v>4</v>
      </c>
      <c r="K34" t="s">
        <v>66</v>
      </c>
      <c r="L34" s="18">
        <v>0.3125</v>
      </c>
      <c r="M34" t="s">
        <v>66</v>
      </c>
      <c r="N34" s="18">
        <v>0.47916666666666669</v>
      </c>
      <c r="O34" t="s">
        <v>12</v>
      </c>
      <c r="P34" t="s">
        <v>15</v>
      </c>
      <c r="Q34" t="s">
        <v>14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22</v>
      </c>
      <c r="AC34">
        <v>19</v>
      </c>
    </row>
    <row r="35" spans="1:29" x14ac:dyDescent="0.25">
      <c r="A35">
        <v>133107749</v>
      </c>
      <c r="B35">
        <v>2031240660</v>
      </c>
      <c r="C35">
        <v>220</v>
      </c>
      <c r="E35" t="s">
        <v>11</v>
      </c>
      <c r="F35" t="s">
        <v>319</v>
      </c>
      <c r="G35">
        <v>4</v>
      </c>
      <c r="H35">
        <v>12</v>
      </c>
      <c r="I35">
        <v>0</v>
      </c>
      <c r="J35">
        <v>3</v>
      </c>
      <c r="K35" t="s">
        <v>66</v>
      </c>
      <c r="L35" s="18">
        <v>0.3125</v>
      </c>
      <c r="M35" t="s">
        <v>66</v>
      </c>
      <c r="N35" s="18">
        <v>0.4375</v>
      </c>
      <c r="O35" t="s">
        <v>12</v>
      </c>
      <c r="P35" t="s">
        <v>15</v>
      </c>
      <c r="Q35" t="s">
        <v>14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22</v>
      </c>
      <c r="AC35">
        <v>19</v>
      </c>
    </row>
    <row r="36" spans="1:29" x14ac:dyDescent="0.25">
      <c r="A36">
        <v>133718087</v>
      </c>
      <c r="B36">
        <v>2031303173</v>
      </c>
      <c r="C36">
        <v>90</v>
      </c>
      <c r="E36" t="s">
        <v>11</v>
      </c>
      <c r="F36" t="s">
        <v>320</v>
      </c>
      <c r="G36">
        <v>4</v>
      </c>
      <c r="H36">
        <v>8</v>
      </c>
      <c r="I36">
        <v>0</v>
      </c>
      <c r="J36">
        <v>2</v>
      </c>
      <c r="K36" t="s">
        <v>66</v>
      </c>
      <c r="L36" s="18">
        <v>0.72083333333333333</v>
      </c>
      <c r="M36" t="s">
        <v>64</v>
      </c>
      <c r="N36" s="18">
        <v>0.37083333333333335</v>
      </c>
      <c r="O36" t="s">
        <v>51</v>
      </c>
      <c r="P36" t="s">
        <v>15</v>
      </c>
      <c r="Q36" t="s">
        <v>14</v>
      </c>
      <c r="T36" s="18">
        <v>0</v>
      </c>
      <c r="W36" s="18">
        <v>0</v>
      </c>
      <c r="Y36">
        <v>0</v>
      </c>
      <c r="Z36">
        <v>0</v>
      </c>
      <c r="AB36" t="s">
        <v>22</v>
      </c>
      <c r="AC36">
        <v>19</v>
      </c>
    </row>
    <row r="37" spans="1:29" x14ac:dyDescent="0.25">
      <c r="A37">
        <v>133878647</v>
      </c>
      <c r="B37">
        <v>2031322562</v>
      </c>
      <c r="C37">
        <v>100</v>
      </c>
      <c r="E37" t="s">
        <v>11</v>
      </c>
      <c r="F37" t="s">
        <v>321</v>
      </c>
      <c r="G37">
        <v>4</v>
      </c>
      <c r="H37">
        <v>8</v>
      </c>
      <c r="I37">
        <v>0</v>
      </c>
      <c r="J37">
        <v>2</v>
      </c>
      <c r="K37" t="s">
        <v>64</v>
      </c>
      <c r="L37" s="18">
        <v>0.33333333333333331</v>
      </c>
      <c r="M37" t="s">
        <v>64</v>
      </c>
      <c r="N37" s="18">
        <v>0.41666666666666669</v>
      </c>
      <c r="O37" t="s">
        <v>12</v>
      </c>
      <c r="P37" t="s">
        <v>15</v>
      </c>
      <c r="Q37" t="s">
        <v>14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22</v>
      </c>
      <c r="AC37">
        <v>19</v>
      </c>
    </row>
    <row r="38" spans="1:29" x14ac:dyDescent="0.25">
      <c r="A38">
        <v>133817097</v>
      </c>
      <c r="B38">
        <v>2031324300</v>
      </c>
      <c r="C38">
        <v>130</v>
      </c>
      <c r="E38" t="s">
        <v>11</v>
      </c>
      <c r="F38" t="s">
        <v>322</v>
      </c>
      <c r="G38">
        <v>4</v>
      </c>
      <c r="H38">
        <v>8</v>
      </c>
      <c r="I38">
        <v>0</v>
      </c>
      <c r="J38">
        <v>2</v>
      </c>
      <c r="K38" t="s">
        <v>66</v>
      </c>
      <c r="L38" s="18">
        <v>0.3125</v>
      </c>
      <c r="M38" t="s">
        <v>66</v>
      </c>
      <c r="N38" s="18">
        <v>0.37916666666666665</v>
      </c>
      <c r="O38" t="s">
        <v>12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B38" t="s">
        <v>22</v>
      </c>
      <c r="AC38">
        <v>19</v>
      </c>
    </row>
    <row r="39" spans="1:29" x14ac:dyDescent="0.25">
      <c r="A39">
        <v>133475240</v>
      </c>
      <c r="B39">
        <v>2031336831</v>
      </c>
      <c r="C39">
        <v>10</v>
      </c>
      <c r="E39" t="s">
        <v>11</v>
      </c>
      <c r="F39" t="s">
        <v>323</v>
      </c>
      <c r="G39">
        <v>4</v>
      </c>
      <c r="H39">
        <v>8</v>
      </c>
      <c r="I39">
        <v>0</v>
      </c>
      <c r="J39">
        <v>2</v>
      </c>
      <c r="K39" t="s">
        <v>64</v>
      </c>
      <c r="L39" s="18">
        <v>0.6791666666666667</v>
      </c>
      <c r="M39" t="s">
        <v>78</v>
      </c>
      <c r="N39" s="18">
        <v>0.32916666666666666</v>
      </c>
      <c r="O39" t="s">
        <v>12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B39" t="s">
        <v>22</v>
      </c>
      <c r="AC39">
        <v>19</v>
      </c>
    </row>
    <row r="40" spans="1:29" x14ac:dyDescent="0.25">
      <c r="A40">
        <v>133885608</v>
      </c>
      <c r="B40">
        <v>2031362129</v>
      </c>
      <c r="C40">
        <v>174</v>
      </c>
      <c r="E40" t="s">
        <v>11</v>
      </c>
      <c r="F40" t="s">
        <v>324</v>
      </c>
      <c r="G40">
        <v>4</v>
      </c>
      <c r="H40">
        <v>16</v>
      </c>
      <c r="I40">
        <v>0</v>
      </c>
      <c r="J40">
        <v>4</v>
      </c>
      <c r="K40" t="s">
        <v>78</v>
      </c>
      <c r="L40" s="18">
        <v>0.65416666666666667</v>
      </c>
      <c r="M40" t="s">
        <v>88</v>
      </c>
      <c r="N40" s="18">
        <v>0.37083333333333335</v>
      </c>
      <c r="O40" t="s">
        <v>12</v>
      </c>
      <c r="P40" t="s">
        <v>15</v>
      </c>
      <c r="Q40" t="s">
        <v>14</v>
      </c>
      <c r="T40" s="18">
        <v>0</v>
      </c>
      <c r="W40" s="18">
        <v>0</v>
      </c>
      <c r="Y40">
        <v>0</v>
      </c>
      <c r="Z40">
        <v>0</v>
      </c>
      <c r="AB40" t="s">
        <v>22</v>
      </c>
      <c r="AC40">
        <v>19</v>
      </c>
    </row>
    <row r="41" spans="1:29" x14ac:dyDescent="0.25">
      <c r="A41">
        <v>133818332</v>
      </c>
      <c r="B41">
        <v>2031380874</v>
      </c>
      <c r="C41">
        <v>70</v>
      </c>
      <c r="E41" t="s">
        <v>11</v>
      </c>
      <c r="F41" t="s">
        <v>325</v>
      </c>
      <c r="G41">
        <v>4</v>
      </c>
      <c r="H41">
        <v>8</v>
      </c>
      <c r="I41">
        <v>0</v>
      </c>
      <c r="J41">
        <v>2</v>
      </c>
      <c r="K41" t="s">
        <v>66</v>
      </c>
      <c r="L41" s="18">
        <v>0.3125</v>
      </c>
      <c r="M41" t="s">
        <v>66</v>
      </c>
      <c r="N41" s="18">
        <v>0.37916666666666665</v>
      </c>
      <c r="O41" t="s">
        <v>51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22</v>
      </c>
      <c r="AC41">
        <v>19</v>
      </c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2025-12-05T15:06:17Z</dcterms:modified>
</cp:coreProperties>
</file>