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323" documentId="14_{3AE44733-C139-4DCE-ACF7-7A76ECA3B1AC}" xr6:coauthVersionLast="47" xr6:coauthVersionMax="47" xr10:uidLastSave="{A40A8597-786F-4CAD-8549-03804D2FD266}"/>
  <bookViews>
    <workbookView xWindow="-105" yWindow="0" windowWidth="26010" windowHeight="20985" tabRatio="1000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8" l="1"/>
  <c r="J43" i="4" s="1"/>
  <c r="H1" i="7"/>
  <c r="J32" i="4" s="1"/>
  <c r="H1" i="5"/>
  <c r="J42" i="4" s="1"/>
  <c r="H1" i="3"/>
  <c r="J31" i="4" s="1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30" i="4" l="1"/>
  <c r="J41" i="4"/>
  <c r="K19" i="4"/>
  <c r="K41" i="4"/>
  <c r="J30" i="4"/>
  <c r="J19" i="4"/>
  <c r="K32" i="4" l="1"/>
  <c r="K20" i="4"/>
  <c r="K21" i="4"/>
  <c r="K31" i="4"/>
  <c r="K42" i="4" l="1" a="1"/>
  <c r="K42" i="4" s="1"/>
  <c r="J47" i="4" s="1"/>
  <c r="O45" i="4" s="1"/>
  <c r="J48" i="4" l="1"/>
  <c r="O46" i="4" s="1"/>
  <c r="O44" i="4" l="1"/>
  <c r="K51" i="4" s="1"/>
  <c r="K47" i="4" s="1"/>
  <c r="K5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<sst xmlns="http://schemas.openxmlformats.org/spreadsheetml/2006/main" count="1195" uniqueCount="183">
  <si>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</si>
  <si>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</si>
  <si>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</si>
  <si>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</si>
  <si>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</si>
  <si>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</si>
  <si>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</si>
  <si>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</si>
  <si>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AUSETU</t>
  </si>
  <si>
    <t>CALDTU</t>
  </si>
  <si>
    <t>MANDTU</t>
  </si>
  <si>
    <t>NDEL</t>
  </si>
  <si>
    <t>IMPR LIB  PLAN</t>
  </si>
  <si>
    <t>ZM01</t>
  </si>
  <si>
    <t>LIB  PLAN</t>
  </si>
  <si>
    <t>NDEL EVCO EXCO</t>
  </si>
  <si>
    <t>JBFI LIB  PLAN PWF</t>
  </si>
  <si>
    <t>NDEL CO03</t>
  </si>
  <si>
    <t>UTDI - Limpar grades/Filtros/Rolo BP/API</t>
  </si>
  <si>
    <t>NDEL CO01 EVCO</t>
  </si>
  <si>
    <t>NÃO SE APLICA</t>
  </si>
  <si>
    <t>U-620(UTDI):Acompanhame.transferên.DIA</t>
  </si>
  <si>
    <t>FT6205: subst. elem. filtrantes se neces</t>
  </si>
  <si>
    <t>NDEL CO03 EVCO</t>
  </si>
  <si>
    <t>X</t>
  </si>
  <si>
    <t>TRANSFERENCIA E ESTOCAGEM</t>
  </si>
  <si>
    <t>UTILIDADES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</si>
  <si>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</si>
  <si>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</si>
  <si>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</si>
  <si>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</si>
  <si>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</si>
  <si>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</si>
  <si>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</si>
  <si>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</si>
  <si>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</si>
  <si>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</si>
  <si>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</si>
  <si>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</si>
  <si>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</si>
  <si>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NDEL CO01</t>
  </si>
  <si>
    <t>NDEL EVCO</t>
  </si>
  <si>
    <t>ZM05</t>
  </si>
  <si>
    <t xml:space="preserve"> </t>
  </si>
  <si>
    <t>REPLAN/SMS/SO-2025-133</t>
  </si>
  <si>
    <t>RACE_VG-I-01 PLQ0007:Drenar local vazam</t>
  </si>
  <si>
    <t>RACE_VG-I-01 PLQ0007: Rea limp trecho lh</t>
  </si>
  <si>
    <t>51.2025</t>
  </si>
  <si>
    <t>V-6207:Jatear/prep.pint. interna (sema 4</t>
  </si>
  <si>
    <t>V-6207: Vigia p/ esp.confinado (semana 4</t>
  </si>
  <si>
    <t>P-6349A/B Realizar limpeza</t>
  </si>
  <si>
    <t>ETA:Apoio transf.prod.químico 2ªsemana</t>
  </si>
  <si>
    <t>GV-2201- Transp.  material p/ area 2 sem</t>
  </si>
  <si>
    <t>GV-2201- Prep solução real dosagem 2 sem</t>
  </si>
  <si>
    <t>V-6204E:Vigia esp.conf.limpeza interna</t>
  </si>
  <si>
    <t>V-6204E:Vigia esp.conf.mont.de andaime</t>
  </si>
  <si>
    <t>V-6204E:Inst.ejetor p/transf.resina p/TQ</t>
  </si>
  <si>
    <t>V-6204E:Remover resina do vaso</t>
  </si>
  <si>
    <t>V-6204E:Instalar iluminação/exaustão</t>
  </si>
  <si>
    <t>V-6204E:Realizar limpeza interna</t>
  </si>
  <si>
    <t>P-6348B:Realizar limpeza permutador</t>
  </si>
  <si>
    <t>S-6302A:Realizar o raqueteamento secador</t>
  </si>
  <si>
    <t>S-6302A:Abrir bocal inferior p/drenagem</t>
  </si>
  <si>
    <t>S-6302A:Abrir BV topo p/limpeza</t>
  </si>
  <si>
    <t>S-6302A:Fechar bocal inferior p/ carreg</t>
  </si>
  <si>
    <t>S-6302A:Fechar BV superior após limpeza</t>
  </si>
  <si>
    <t>S-6302A:Realizar o desraquet secador</t>
  </si>
  <si>
    <t>U-740 SHELTER: Instalar guarda corpo</t>
  </si>
  <si>
    <t>EF-4522: Realiz corte a frio/Remov amost</t>
  </si>
  <si>
    <t>EF-4522: Abrir rosca  capear amostrador</t>
  </si>
  <si>
    <t>P-6349A/B Abrir tampa do carretel</t>
  </si>
  <si>
    <t>P-6349A/ Fechar tampa do carretel</t>
  </si>
  <si>
    <t>22.12.2025</t>
  </si>
  <si>
    <t>B-6349C Transportar válvula p/ CAFOR</t>
  </si>
  <si>
    <t>B-6349C Remover flange cego/conectar lhs</t>
  </si>
  <si>
    <t>B-6349C Instalar válvula ap. guindaste</t>
  </si>
  <si>
    <t>V-6322:Emitir relatório PRCO</t>
  </si>
  <si>
    <t>CAFOR: Emitir Relatóri PRCO</t>
  </si>
  <si>
    <t>IMPR JBFI LIB  PLAN PWF</t>
  </si>
  <si>
    <t>PSV-63343 Remover spool p/repar.na ofic</t>
  </si>
  <si>
    <t>NDEL EXCO</t>
  </si>
  <si>
    <t>SASPERS-4524: Ap p/ Desobst. Asp 05</t>
  </si>
  <si>
    <t>P-6348B:Abrir tamp do carretel p/limp</t>
  </si>
  <si>
    <t>P-6348B:Fechar tampa após limpeza</t>
  </si>
  <si>
    <t>P-6348A:Emitir relatório PRCO</t>
  </si>
  <si>
    <t>VA-4907: Desmontar andaime acesso teto</t>
  </si>
  <si>
    <t>VA-4908: Desmontar andaime acesso teto</t>
  </si>
  <si>
    <t>$MAND_S-6302A: Adeq. And limp/carreg</t>
  </si>
  <si>
    <t>P-B-61101B-M.A. plataforma acesso</t>
  </si>
  <si>
    <t>SCRAPER/U-730_Desmontar andaime ponto 2</t>
  </si>
  <si>
    <t>$MANDB-4021A: Mont acesso/ confinamento</t>
  </si>
  <si>
    <t>$MAND VE-40054:  Montar andaime</t>
  </si>
  <si>
    <t>U-631/1º Piso antigo reat D. and PT 01</t>
  </si>
  <si>
    <t>U-631/1º Piso antigo reat D. and PT 02</t>
  </si>
  <si>
    <t>B-6304B Montar andaime p engaxetar valv</t>
  </si>
  <si>
    <t>B-6304B D.A. após Reengaxetamento</t>
  </si>
  <si>
    <t>$MAND B-4901C: Desmontar andaime acesso</t>
  </si>
  <si>
    <t>B-6228B M.A p/acesso p/libar e sub valv.</t>
  </si>
  <si>
    <t>$MAND MCV-4173: M Andaime acesso/limpeza</t>
  </si>
  <si>
    <t>$MAND TQ-4902: Montar andaime acesso</t>
  </si>
  <si>
    <t>$MAND SASPERS-4524: M.A Acess Asp 05</t>
  </si>
  <si>
    <t>$MAND SASPERS-4524: D.And Acesso Asp 05</t>
  </si>
  <si>
    <t>$MAND SASPERS-4524: M.A Acess Asp 06</t>
  </si>
  <si>
    <t>$MAND_MCV-4160_Montar acesso</t>
  </si>
  <si>
    <t>V-4023B:Vigia de espaço confinado</t>
  </si>
  <si>
    <t>V-4023B:Vigia espaço confinado</t>
  </si>
  <si>
    <t>V-4023B:Realizar limpeza interna</t>
  </si>
  <si>
    <t>TE - CO6 - Limpeza Area e Pq Bomba</t>
  </si>
  <si>
    <t>TE - CO4 - Limpeza do Pq Bomba</t>
  </si>
  <si>
    <t>23.12.2025</t>
  </si>
  <si>
    <t>UTDI /TE:Apoio carreg/desc.produtos qu.</t>
  </si>
  <si>
    <t>RACE_VG-I-01 PLQ0007:QuebrarTrech calç/a</t>
  </si>
  <si>
    <t>RACE_VG-I-01 PLQ0007:Esc Trech calç/asfa</t>
  </si>
  <si>
    <t>S-6302A: Repor alumina secador</t>
  </si>
  <si>
    <t>26.12.2025</t>
  </si>
  <si>
    <t>S-6302A:Emitir relatório PRCO</t>
  </si>
  <si>
    <t>29.12.2025</t>
  </si>
  <si>
    <t>ETA:Apoio transf.prod.químico 3ªsemana</t>
  </si>
  <si>
    <t>CAFOR:Limp.de piso de área 2ª semana</t>
  </si>
  <si>
    <t>CAFOR:Limp.de piso GV's-2201/501 2ª sem.</t>
  </si>
  <si>
    <t>TG-6301ABC_Limpeza casulos 2° semana</t>
  </si>
  <si>
    <t>CAFOR:Limp.de piso de área  2ª semana</t>
  </si>
  <si>
    <t>ETA:Limp.piso e grade TR-6122/51 3ªsem.</t>
  </si>
  <si>
    <t>ETA:Limpeza de piso de área 3ª semana</t>
  </si>
  <si>
    <t>30.12.2025</t>
  </si>
  <si>
    <t>$LIMP_PG-400-01402: Desassorear área</t>
  </si>
  <si>
    <t>SUL TQ-4113:Remover bloqueio velho</t>
  </si>
  <si>
    <t>SUL TQ-4113:Instalar bloqueio/anel espaç</t>
  </si>
  <si>
    <t>U-740 SHELTER: PRCO Anexar relatório</t>
  </si>
  <si>
    <t>B-4021A:Fabricar linhas/remov união rosc</t>
  </si>
  <si>
    <t>B-4021A: Substituir trechos novos/dreno</t>
  </si>
  <si>
    <t>TQ-4626: Sanar vazamento no amostrador</t>
  </si>
  <si>
    <t>TQ-4626: PRCO Anexar relatório</t>
  </si>
  <si>
    <t>TQ-4404: Desconetar spool dreno de fundo</t>
  </si>
  <si>
    <t>TQ-4404: Adequar dreno fundo (Encurtar)</t>
  </si>
  <si>
    <t>TQ-4404: Instalar dreno de fundo</t>
  </si>
  <si>
    <t>SASPERS-4524: Ap p/ Desobst. Asp 06</t>
  </si>
  <si>
    <t>FT-6201E Emitir relatório PRCO</t>
  </si>
  <si>
    <t>P-6314B:Raquetear entrada /saída</t>
  </si>
  <si>
    <t>P-6314B:Remov.permut.instal.flange cego</t>
  </si>
  <si>
    <t>P-6314B:ABRIR TAMPA Leste/Oeste</t>
  </si>
  <si>
    <t>P-6314B:REMOVER Componentes</t>
  </si>
  <si>
    <t>PI-63556:Soldar válv/niple oficina</t>
  </si>
  <si>
    <t>FT-6364D:Emitir ralatório PRCO</t>
  </si>
  <si>
    <t>BL-6201A:Subst.Cilindro de Cloro 4ª sem.</t>
  </si>
  <si>
    <t>BL-6201A:Subst.Cilindro de Cloro 1ª sem.</t>
  </si>
  <si>
    <t>ETA:Apoio transf.prod.químico3ªsemana</t>
  </si>
  <si>
    <t>BL-6201B:Subst.Cilindro de Cloro 4ªsem.</t>
  </si>
  <si>
    <t>CAFOR: Apoio movimentar o vaso PS</t>
  </si>
  <si>
    <t>BL-6201B:Subst.Cilindro de Cloro 2ªsem.</t>
  </si>
  <si>
    <t>B-6129A/B-Conec/Desc. mang ácido 3ª sem.</t>
  </si>
  <si>
    <t>SP-6202B Remov. abraçadeira pote selagem</t>
  </si>
  <si>
    <t>SP-6202B Instalar Capote no pote selagem</t>
  </si>
  <si>
    <t>SP-6202B Instalar dreno no capote</t>
  </si>
  <si>
    <t>SP-6202B Emitir relatório PRCO</t>
  </si>
  <si>
    <t>MCV-4171_D.A plataf e pau-de-carga.</t>
  </si>
  <si>
    <t>HV-45074_D.A para acesso ao atuador</t>
  </si>
  <si>
    <t>$MAND SASPERS-4524: D.And Acesso Asp 06</t>
  </si>
  <si>
    <t>$MAND B-7486B: Desmontar andaimes</t>
  </si>
  <si>
    <t>FT-6201E D.A após inst.das crepinas</t>
  </si>
  <si>
    <t>B-6121B_Desmontar plataf. e pau-de-carga</t>
  </si>
  <si>
    <t>P-6314B:Adequar and.suport.linha/permuta</t>
  </si>
  <si>
    <t>$MAND_S-6302A:D.A Plataforma BV infer</t>
  </si>
  <si>
    <t>$MAND_S-6302A:D.A Acesso Raquet/BV</t>
  </si>
  <si>
    <t>B-61102A M.A. Escora de linha</t>
  </si>
  <si>
    <t>B-61102B D.A. após a manutenção</t>
  </si>
  <si>
    <t>S-6302A:D.and.P/subst.bloq.saida ld.fora</t>
  </si>
  <si>
    <t>$MAND_V-6322:D.conf.p/subst.bloq.dreno</t>
  </si>
  <si>
    <t>GV-22501PLQ1729:M.A. Confinamento</t>
  </si>
  <si>
    <t>B-6101D D.A. após manutenção</t>
  </si>
  <si>
    <t>PI-63053D_Desmontar andaime/acesso</t>
  </si>
  <si>
    <t>THI-63305E_Desmontar andaime de acesso</t>
  </si>
  <si>
    <t>B-6151B M. A. p/ remover valvula redutor</t>
  </si>
  <si>
    <t>B-6151B D. A após remov valvula redutora</t>
  </si>
  <si>
    <t>MVE-6312B-Montar and/plataforma</t>
  </si>
  <si>
    <t>MVE-6312B-Desmontar and/plataforma</t>
  </si>
  <si>
    <t>SF-22505E-DA plataf acesso ramonador</t>
  </si>
  <si>
    <t>SF-22505F-DA plataf acesso ramonador</t>
  </si>
  <si>
    <t>SF-22505G-DA plataf acesso ramonador</t>
  </si>
  <si>
    <t>SF-22505H-DA plataf acesso ramonador</t>
  </si>
  <si>
    <t>TG-6301ABC_Montar/desm and limpeza 2°sem</t>
  </si>
  <si>
    <t>SP-6202B D.A. após conclusão de manuten</t>
  </si>
  <si>
    <t>$SF-22504A-D.A. após manutenção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</si>
</sst>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8" xfId="0" applyNumberForma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0.33860529046897458</c:v>
                </c:pt>
                <c:pt idx="1">
                  <c:v>1.1474350246376057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0.2742653950034421</c:v>
                </c:pt>
                <c:pt idx="1">
                  <c:v>0.69657952313063254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0.33860529046897458</c:v>
                </c:pt>
                <c:pt idx="1">
                  <c:v>1.1474350246376057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tabSelected="1" zoomScale="85" zoomScaleNormal="85" workbookViewId="0">
      <selection activeCell="D15" sqref="D15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1" max="11" width="9.140625" style="1"/>
    <col min="12" max="12" width="11.85546875" bestFit="1" customWidth="1"/>
    <col min="23" max="23" width="11.28515625" bestFit="1" customWidth="1"/>
  </cols>
  <sheetData>
    <row r="1" spans="2:30" ht="15.75" thickBot="1" x14ac:dyDescent="0.3"/>
    <row r="2" spans="2:30" ht="21.75" thickBot="1" x14ac:dyDescent="0.4">
      <c r="B2" s="63" t="s">
        <v>8</v>
      </c>
      <c r="C2" s="64"/>
      <c r="D2" s="64"/>
      <c r="E2" s="64"/>
      <c r="F2" s="64"/>
      <c r="G2" s="65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47</v>
      </c>
      <c r="C4" s="9">
        <v>513.1</v>
      </c>
      <c r="D4" s="9">
        <v>345.28</v>
      </c>
      <c r="E4" s="10">
        <f>C4/D4</f>
        <v>1.4860403151065804</v>
      </c>
      <c r="F4" s="9">
        <f>D4-C4</f>
        <v>-167.82000000000005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513.1</v>
      </c>
      <c r="D5" s="13">
        <f>D4</f>
        <v>345.28</v>
      </c>
      <c r="E5" s="14">
        <f>E4</f>
        <v>1.4860403151065804</v>
      </c>
      <c r="F5" s="13">
        <f>F4</f>
        <v>-167.82000000000005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63" t="s">
        <v>9</v>
      </c>
      <c r="C7" s="64"/>
      <c r="D7" s="64"/>
      <c r="E7" s="64"/>
      <c r="F7" s="64"/>
      <c r="G7" s="65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47</v>
      </c>
      <c r="C9" s="9">
        <v>251.41</v>
      </c>
      <c r="D9" s="9">
        <v>258.95999999999998</v>
      </c>
      <c r="E9" s="10">
        <f>C9/D9</f>
        <v>0.97084491813407481</v>
      </c>
      <c r="F9" s="9">
        <f>D9-C9</f>
        <v>7.5499999999999829</v>
      </c>
      <c r="G9" s="11" t="s">
        <v>7</v>
      </c>
    </row>
    <row r="10" spans="2:30" ht="15.75" thickBot="1" x14ac:dyDescent="0.3">
      <c r="B10" s="4" t="s">
        <v>6</v>
      </c>
      <c r="C10" s="5">
        <f>C9</f>
        <v>251.41</v>
      </c>
      <c r="D10" s="5">
        <f>D9</f>
        <v>258.95999999999998</v>
      </c>
      <c r="E10" s="6">
        <f>E9</f>
        <v>0.97084491813407481</v>
      </c>
      <c r="F10" s="5">
        <f>F9</f>
        <v>7.5499999999999829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63" t="s">
        <v>10</v>
      </c>
      <c r="C12" s="64"/>
      <c r="D12" s="64"/>
      <c r="E12" s="64"/>
      <c r="F12" s="64"/>
      <c r="G12" s="65"/>
      <c r="AD12" t="s">
        <v>43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47</v>
      </c>
      <c r="C14" s="9">
        <v>532.64</v>
      </c>
      <c r="D14" s="9">
        <v>517.91999999999996</v>
      </c>
      <c r="E14" s="10">
        <f>C14/D14</f>
        <v>1.0284213778189681</v>
      </c>
      <c r="F14" s="9">
        <f>D14-C14</f>
        <v>-14.720000000000027</v>
      </c>
      <c r="G14" s="11" t="s">
        <v>7</v>
      </c>
    </row>
    <row r="15" spans="2:30" ht="15.75" thickBot="1" x14ac:dyDescent="0.3">
      <c r="B15" s="4" t="s">
        <v>6</v>
      </c>
      <c r="C15" s="5">
        <f>C14</f>
        <v>532.64</v>
      </c>
      <c r="D15" s="5">
        <f>D14</f>
        <v>517.91999999999996</v>
      </c>
      <c r="E15" s="6">
        <f>E14</f>
        <v>1.0284213778189681</v>
      </c>
      <c r="F15" s="5">
        <f>F14</f>
        <v>-14.720000000000027</v>
      </c>
      <c r="G15" s="7" t="str">
        <f>G14</f>
        <v>H</v>
      </c>
    </row>
    <row r="16" spans="2:30" ht="15.75" thickBot="1" x14ac:dyDescent="0.3"/>
    <row r="17" spans="2:11" ht="15.75" thickBot="1" x14ac:dyDescent="0.3">
      <c r="B17" s="66" t="s">
        <v>25</v>
      </c>
      <c r="C17" s="67"/>
      <c r="D17" s="68"/>
      <c r="E17" s="69" t="s">
        <v>26</v>
      </c>
      <c r="F17" s="70"/>
      <c r="G17" s="71"/>
    </row>
    <row r="18" spans="2:11" ht="15.75" thickBot="1" x14ac:dyDescent="0.3">
      <c r="B18" s="54" t="s">
        <v>8</v>
      </c>
      <c r="C18" s="55"/>
      <c r="D18" s="55"/>
      <c r="E18" s="55"/>
      <c r="F18" s="55"/>
      <c r="G18" s="56"/>
      <c r="I18" s="57" t="s">
        <v>8</v>
      </c>
      <c r="J18" s="58"/>
      <c r="K18" s="59"/>
    </row>
    <row r="19" spans="2:11" x14ac:dyDescent="0.25">
      <c r="B19" s="45"/>
      <c r="C19" s="46"/>
      <c r="D19" s="46"/>
      <c r="E19" s="46"/>
      <c r="F19" s="46"/>
      <c r="G19" s="47"/>
      <c r="I19" s="34" t="s">
        <v>39</v>
      </c>
      <c r="J19" s="33">
        <f>SUM(J20:J21)</f>
        <v>544.20000000000005</v>
      </c>
      <c r="K19" s="35">
        <f>E4</f>
        <v>1.4860403151065804</v>
      </c>
    </row>
    <row r="20" spans="2:11" x14ac:dyDescent="0.25">
      <c r="B20" s="48"/>
      <c r="C20" s="49"/>
      <c r="D20" s="49"/>
      <c r="E20" s="49"/>
      <c r="F20" s="49"/>
      <c r="G20" s="50"/>
      <c r="I20" s="36" t="s">
        <v>37</v>
      </c>
      <c r="J20" s="32">
        <f>'AUSETU T.E'!H1</f>
        <v>124</v>
      </c>
      <c r="K20" s="37">
        <f>J20*K19/J19</f>
        <v>0.33860529046897458</v>
      </c>
    </row>
    <row r="21" spans="2:11" ht="15.75" thickBot="1" x14ac:dyDescent="0.3">
      <c r="B21" s="48"/>
      <c r="C21" s="49"/>
      <c r="D21" s="49"/>
      <c r="E21" s="49"/>
      <c r="F21" s="49"/>
      <c r="G21" s="50"/>
      <c r="I21" s="38" t="s">
        <v>38</v>
      </c>
      <c r="J21" s="39">
        <f>'AUSETU UT'!H1</f>
        <v>420.2</v>
      </c>
      <c r="K21" s="40">
        <f>J21*K19/J19</f>
        <v>1.1474350246376057</v>
      </c>
    </row>
    <row r="22" spans="2:11" x14ac:dyDescent="0.25">
      <c r="B22" s="48"/>
      <c r="C22" s="49"/>
      <c r="D22" s="49"/>
      <c r="E22" s="49"/>
      <c r="F22" s="49"/>
      <c r="G22" s="50"/>
    </row>
    <row r="23" spans="2:11" x14ac:dyDescent="0.25">
      <c r="B23" s="48"/>
      <c r="C23" s="49"/>
      <c r="D23" s="49"/>
      <c r="E23" s="49"/>
      <c r="F23" s="49"/>
      <c r="G23" s="50"/>
    </row>
    <row r="24" spans="2:11" x14ac:dyDescent="0.25">
      <c r="B24" s="48"/>
      <c r="C24" s="49"/>
      <c r="D24" s="49"/>
      <c r="E24" s="49"/>
      <c r="F24" s="49"/>
      <c r="G24" s="50"/>
    </row>
    <row r="25" spans="2:11" x14ac:dyDescent="0.25">
      <c r="B25" s="48"/>
      <c r="C25" s="49"/>
      <c r="D25" s="49"/>
      <c r="E25" s="49"/>
      <c r="F25" s="49"/>
      <c r="G25" s="50"/>
    </row>
    <row r="26" spans="2:11" x14ac:dyDescent="0.25">
      <c r="B26" s="48"/>
      <c r="C26" s="49"/>
      <c r="D26" s="49"/>
      <c r="E26" s="49"/>
      <c r="F26" s="49"/>
      <c r="G26" s="50"/>
    </row>
    <row r="27" spans="2:11" x14ac:dyDescent="0.25">
      <c r="B27" s="48"/>
      <c r="C27" s="49"/>
      <c r="D27" s="49"/>
      <c r="E27" s="49"/>
      <c r="F27" s="49"/>
      <c r="G27" s="50"/>
    </row>
    <row r="28" spans="2:11" ht="15.75" thickBot="1" x14ac:dyDescent="0.3">
      <c r="B28" s="60"/>
      <c r="C28" s="61"/>
      <c r="D28" s="61"/>
      <c r="E28" s="61"/>
      <c r="F28" s="61"/>
      <c r="G28" s="62"/>
    </row>
    <row r="29" spans="2:11" ht="15.75" thickBot="1" x14ac:dyDescent="0.3">
      <c r="B29" s="54" t="s">
        <v>9</v>
      </c>
      <c r="C29" s="55"/>
      <c r="D29" s="55"/>
      <c r="E29" s="55"/>
      <c r="F29" s="55"/>
      <c r="G29" s="56"/>
      <c r="I29" s="57" t="s">
        <v>9</v>
      </c>
      <c r="J29" s="58"/>
      <c r="K29" s="59"/>
    </row>
    <row r="30" spans="2:11" x14ac:dyDescent="0.25">
      <c r="B30" s="45"/>
      <c r="C30" s="46"/>
      <c r="D30" s="46"/>
      <c r="E30" s="46"/>
      <c r="F30" s="46"/>
      <c r="G30" s="47"/>
      <c r="I30" s="34" t="s">
        <v>39</v>
      </c>
      <c r="J30" s="33">
        <f>SUM(J31:J32)</f>
        <v>284.60000000000002</v>
      </c>
      <c r="K30" s="35">
        <f>E9</f>
        <v>0.97084491813407481</v>
      </c>
    </row>
    <row r="31" spans="2:11" x14ac:dyDescent="0.25">
      <c r="B31" s="48"/>
      <c r="C31" s="49"/>
      <c r="D31" s="49"/>
      <c r="E31" s="49"/>
      <c r="F31" s="49"/>
      <c r="G31" s="50"/>
      <c r="I31" s="36" t="s">
        <v>37</v>
      </c>
      <c r="J31" s="32">
        <f>'CALDTU T.E'!H1</f>
        <v>80.400000000000006</v>
      </c>
      <c r="K31" s="37">
        <f>J31*K30/J30</f>
        <v>0.2742653950034421</v>
      </c>
    </row>
    <row r="32" spans="2:11" ht="15.75" thickBot="1" x14ac:dyDescent="0.3">
      <c r="B32" s="48"/>
      <c r="C32" s="49"/>
      <c r="D32" s="49"/>
      <c r="E32" s="49"/>
      <c r="F32" s="49"/>
      <c r="G32" s="50"/>
      <c r="I32" s="38" t="s">
        <v>38</v>
      </c>
      <c r="J32" s="39">
        <f>'CALDTU UT'!H1</f>
        <v>204.2</v>
      </c>
      <c r="K32" s="40">
        <f>J32*K30/J30</f>
        <v>0.69657952313063254</v>
      </c>
    </row>
    <row r="33" spans="2:15" x14ac:dyDescent="0.25">
      <c r="B33" s="48"/>
      <c r="C33" s="49"/>
      <c r="D33" s="49"/>
      <c r="E33" s="49"/>
      <c r="F33" s="49"/>
      <c r="G33" s="50"/>
    </row>
    <row r="34" spans="2:15" x14ac:dyDescent="0.25">
      <c r="B34" s="48"/>
      <c r="C34" s="49"/>
      <c r="D34" s="49"/>
      <c r="E34" s="49"/>
      <c r="F34" s="49"/>
      <c r="G34" s="50"/>
    </row>
    <row r="35" spans="2:15" x14ac:dyDescent="0.25">
      <c r="B35" s="48"/>
      <c r="C35" s="49"/>
      <c r="D35" s="49"/>
      <c r="E35" s="49"/>
      <c r="F35" s="49"/>
      <c r="G35" s="50"/>
    </row>
    <row r="36" spans="2:15" x14ac:dyDescent="0.25">
      <c r="B36" s="48"/>
      <c r="C36" s="49"/>
      <c r="D36" s="49"/>
      <c r="E36" s="49"/>
      <c r="F36" s="49"/>
      <c r="G36" s="50"/>
    </row>
    <row r="37" spans="2:15" x14ac:dyDescent="0.25">
      <c r="B37" s="48"/>
      <c r="C37" s="49"/>
      <c r="D37" s="49"/>
      <c r="E37" s="49"/>
      <c r="F37" s="49"/>
      <c r="G37" s="50"/>
    </row>
    <row r="38" spans="2:15" x14ac:dyDescent="0.25">
      <c r="B38" s="48"/>
      <c r="C38" s="49"/>
      <c r="D38" s="49"/>
      <c r="E38" s="49"/>
      <c r="F38" s="49"/>
      <c r="G38" s="50"/>
    </row>
    <row r="39" spans="2:15" ht="15.75" thickBot="1" x14ac:dyDescent="0.3">
      <c r="B39" s="60"/>
      <c r="C39" s="61"/>
      <c r="D39" s="61"/>
      <c r="E39" s="61"/>
      <c r="F39" s="61"/>
      <c r="G39" s="62"/>
    </row>
    <row r="40" spans="2:15" ht="15.75" thickBot="1" x14ac:dyDescent="0.3">
      <c r="B40" s="54" t="s">
        <v>10</v>
      </c>
      <c r="C40" s="55"/>
      <c r="D40" s="55"/>
      <c r="E40" s="55"/>
      <c r="F40" s="55"/>
      <c r="G40" s="56"/>
      <c r="I40" s="57" t="s">
        <v>10</v>
      </c>
      <c r="J40" s="58"/>
      <c r="K40" s="59"/>
    </row>
    <row r="41" spans="2:15" x14ac:dyDescent="0.25">
      <c r="B41" s="45"/>
      <c r="C41" s="46"/>
      <c r="D41" s="46"/>
      <c r="E41" s="46"/>
      <c r="F41" s="46"/>
      <c r="G41" s="47"/>
      <c r="I41" s="34" t="s">
        <v>39</v>
      </c>
      <c r="J41" s="41">
        <f>E14</f>
        <v>1.0284213778189681</v>
      </c>
      <c r="K41" s="35">
        <f>E14</f>
        <v>1.0284213778189681</v>
      </c>
    </row>
    <row r="42" spans="2:15" x14ac:dyDescent="0.25">
      <c r="B42" s="48"/>
      <c r="C42" s="49"/>
      <c r="D42" s="49"/>
      <c r="E42" s="49"/>
      <c r="F42" s="49"/>
      <c r="G42" s="50"/>
      <c r="I42" s="36" t="s">
        <v>37</v>
      </c>
      <c r="J42" s="32">
        <f>'MANDTU T.E'!H1</f>
        <v>246</v>
      </c>
      <c r="K42" s="37" cm="1">
        <f t="array" ref="K42:K43">K20:K21</f>
        <v>0.33860529046897458</v>
      </c>
    </row>
    <row r="43" spans="2:15" ht="15.75" thickBot="1" x14ac:dyDescent="0.3">
      <c r="B43" s="48"/>
      <c r="C43" s="49"/>
      <c r="D43" s="49"/>
      <c r="E43" s="49"/>
      <c r="F43" s="49"/>
      <c r="G43" s="50"/>
      <c r="I43" s="38" t="s">
        <v>38</v>
      </c>
      <c r="J43" s="39">
        <f>'MANDTU UT'!H1</f>
        <v>290</v>
      </c>
      <c r="K43" s="40">
        <v>1.1474350246376057</v>
      </c>
    </row>
    <row r="44" spans="2:15" x14ac:dyDescent="0.25">
      <c r="B44" s="48"/>
      <c r="C44" s="49"/>
      <c r="D44" s="49"/>
      <c r="E44" s="49"/>
      <c r="F44" s="49"/>
      <c r="G44" s="50"/>
      <c r="N44">
        <v>100</v>
      </c>
      <c r="O44" s="42">
        <f>SUM(J47+J48)</f>
        <v>1.6967868576616136</v>
      </c>
    </row>
    <row r="45" spans="2:15" ht="15.75" thickBot="1" x14ac:dyDescent="0.3">
      <c r="B45" s="48"/>
      <c r="C45" s="49"/>
      <c r="D45" s="49"/>
      <c r="E45" s="49"/>
      <c r="F45" s="49"/>
      <c r="G45" s="50"/>
      <c r="N45" t="s">
        <v>24</v>
      </c>
      <c r="O45" s="43">
        <f>J47*N44</f>
        <v>69.963700019299907</v>
      </c>
    </row>
    <row r="46" spans="2:15" ht="15.75" thickBot="1" x14ac:dyDescent="0.3">
      <c r="B46" s="48"/>
      <c r="C46" s="49"/>
      <c r="D46" s="49"/>
      <c r="E46" s="49"/>
      <c r="F46" s="49"/>
      <c r="G46" s="50"/>
      <c r="I46" s="57" t="s">
        <v>39</v>
      </c>
      <c r="J46" s="58"/>
      <c r="K46" s="59"/>
      <c r="O46" s="43">
        <f>J48*N44</f>
        <v>99.714985746861458</v>
      </c>
    </row>
    <row r="47" spans="2:15" x14ac:dyDescent="0.25">
      <c r="B47" s="48"/>
      <c r="C47" s="49"/>
      <c r="D47" s="49"/>
      <c r="E47" s="49"/>
      <c r="F47" s="49"/>
      <c r="G47" s="50"/>
      <c r="I47" s="36" t="s">
        <v>37</v>
      </c>
      <c r="J47" s="42">
        <f>SUM(K19+K31+K42)/3</f>
        <v>0.69963700019299901</v>
      </c>
      <c r="K47" s="1">
        <f>K51</f>
        <v>0.4123305157827466</v>
      </c>
    </row>
    <row r="48" spans="2:15" ht="15.75" thickBot="1" x14ac:dyDescent="0.3">
      <c r="B48" s="48"/>
      <c r="C48" s="49"/>
      <c r="D48" s="49"/>
      <c r="E48" s="49"/>
      <c r="F48" s="49"/>
      <c r="G48" s="50"/>
      <c r="I48" s="38" t="s">
        <v>38</v>
      </c>
      <c r="J48" s="42">
        <f>SUM(K21+K32+K43)/3</f>
        <v>0.99714985746861462</v>
      </c>
    </row>
    <row r="49" spans="2:14" ht="15.75" thickBot="1" x14ac:dyDescent="0.3">
      <c r="B49" s="48"/>
      <c r="C49" s="49"/>
      <c r="D49" s="49"/>
      <c r="E49" s="49"/>
      <c r="F49" s="49"/>
      <c r="G49" s="50"/>
    </row>
    <row r="50" spans="2:14" ht="15.75" thickBot="1" x14ac:dyDescent="0.3">
      <c r="B50" s="51"/>
      <c r="C50" s="52"/>
      <c r="D50" s="52"/>
      <c r="E50" s="52"/>
      <c r="F50" s="52"/>
      <c r="G50" s="53"/>
      <c r="I50" s="57" t="s">
        <v>39</v>
      </c>
      <c r="J50" s="58"/>
      <c r="K50" s="59"/>
      <c r="N50" s="42"/>
    </row>
    <row r="51" spans="2:14" x14ac:dyDescent="0.25">
      <c r="I51" s="36" t="s">
        <v>37</v>
      </c>
      <c r="K51" s="44">
        <f>O45/O44/100</f>
        <v>0.4123305157827466</v>
      </c>
    </row>
    <row r="52" spans="2:14" ht="15.75" thickBot="1" x14ac:dyDescent="0.3">
      <c r="I52" s="38" t="s">
        <v>38</v>
      </c>
      <c r="K52" s="44">
        <f>O46/O44/100</f>
        <v>0.5876694842172534</v>
      </c>
    </row>
  </sheetData>
  <mergeCells count="16">
    <mergeCell ref="B2:G2"/>
    <mergeCell ref="B7:G7"/>
    <mergeCell ref="B12:G12"/>
    <mergeCell ref="B17:D17"/>
    <mergeCell ref="E17:G17"/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39"/>
  <sheetViews>
    <sheetView workbookViewId="0">
      <selection activeCell="E17" sqref="E17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124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114073631</v>
      </c>
      <c r="B3">
        <v>2028163400</v>
      </c>
      <c r="C3">
        <v>240</v>
      </c>
      <c r="D3">
        <v>10</v>
      </c>
      <c r="E3" t="s">
        <v>8</v>
      </c>
      <c r="F3" t="s">
        <v>104</v>
      </c>
      <c r="G3">
        <v>1</v>
      </c>
      <c r="H3">
        <v>4</v>
      </c>
      <c r="I3">
        <v>0</v>
      </c>
      <c r="J3">
        <v>4</v>
      </c>
      <c r="K3" t="s">
        <v>72</v>
      </c>
      <c r="L3" s="18">
        <v>0.625</v>
      </c>
      <c r="M3" t="s">
        <v>72</v>
      </c>
      <c r="N3" s="18">
        <v>0.79166666666666663</v>
      </c>
      <c r="O3" t="s">
        <v>11</v>
      </c>
      <c r="P3" t="s">
        <v>12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C3">
        <v>18</v>
      </c>
    </row>
    <row r="4" spans="1:29" x14ac:dyDescent="0.25">
      <c r="A4">
        <v>114074421</v>
      </c>
      <c r="B4">
        <v>2028163400</v>
      </c>
      <c r="C4">
        <v>210</v>
      </c>
      <c r="D4">
        <v>10</v>
      </c>
      <c r="E4" t="s">
        <v>8</v>
      </c>
      <c r="F4" t="s">
        <v>104</v>
      </c>
      <c r="G4">
        <v>1</v>
      </c>
      <c r="H4">
        <v>4</v>
      </c>
      <c r="I4">
        <v>0</v>
      </c>
      <c r="J4">
        <v>4</v>
      </c>
      <c r="K4" t="s">
        <v>72</v>
      </c>
      <c r="L4" s="18">
        <v>0.25</v>
      </c>
      <c r="M4" t="s">
        <v>72</v>
      </c>
      <c r="N4" s="18">
        <v>0.41666666666666669</v>
      </c>
      <c r="O4" t="s">
        <v>11</v>
      </c>
      <c r="P4" t="s">
        <v>12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C4">
        <v>18</v>
      </c>
    </row>
    <row r="5" spans="1:29" x14ac:dyDescent="0.25">
      <c r="A5">
        <v>127390928</v>
      </c>
      <c r="B5">
        <v>2028163400</v>
      </c>
      <c r="C5">
        <v>149</v>
      </c>
      <c r="D5">
        <v>10</v>
      </c>
      <c r="E5" t="s">
        <v>8</v>
      </c>
      <c r="F5" t="s">
        <v>105</v>
      </c>
      <c r="G5">
        <v>1</v>
      </c>
      <c r="H5">
        <v>6</v>
      </c>
      <c r="I5">
        <v>0</v>
      </c>
      <c r="J5">
        <v>6</v>
      </c>
      <c r="K5" t="s">
        <v>72</v>
      </c>
      <c r="L5" s="18">
        <v>0</v>
      </c>
      <c r="M5" t="s">
        <v>72</v>
      </c>
      <c r="N5" s="18">
        <v>0.25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C5">
        <v>18</v>
      </c>
    </row>
    <row r="6" spans="1:29" x14ac:dyDescent="0.25">
      <c r="A6">
        <v>114073630</v>
      </c>
      <c r="B6">
        <v>2028163400</v>
      </c>
      <c r="C6">
        <v>240</v>
      </c>
      <c r="E6" t="s">
        <v>8</v>
      </c>
      <c r="F6" t="s">
        <v>106</v>
      </c>
      <c r="G6">
        <v>4</v>
      </c>
      <c r="H6">
        <v>16</v>
      </c>
      <c r="I6">
        <v>0</v>
      </c>
      <c r="J6">
        <v>4</v>
      </c>
      <c r="K6" t="s">
        <v>72</v>
      </c>
      <c r="L6" s="18">
        <v>0.625</v>
      </c>
      <c r="M6" t="s">
        <v>72</v>
      </c>
      <c r="N6" s="18">
        <v>0.79166666666666663</v>
      </c>
      <c r="O6" t="s">
        <v>23</v>
      </c>
      <c r="P6" t="s">
        <v>12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C6">
        <v>18</v>
      </c>
    </row>
    <row r="7" spans="1:29" x14ac:dyDescent="0.25">
      <c r="A7">
        <v>119476058</v>
      </c>
      <c r="B7">
        <v>2029148435</v>
      </c>
      <c r="C7">
        <v>405</v>
      </c>
      <c r="E7" t="s">
        <v>8</v>
      </c>
      <c r="F7" t="s">
        <v>107</v>
      </c>
      <c r="G7">
        <v>2</v>
      </c>
      <c r="H7">
        <v>16</v>
      </c>
      <c r="I7">
        <v>0</v>
      </c>
      <c r="J7">
        <v>8</v>
      </c>
      <c r="K7" t="s">
        <v>72</v>
      </c>
      <c r="L7" s="18">
        <v>0.3125</v>
      </c>
      <c r="M7" t="s">
        <v>72</v>
      </c>
      <c r="N7" s="18">
        <v>0.6875</v>
      </c>
      <c r="O7" t="s">
        <v>17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119476086</v>
      </c>
      <c r="B8">
        <v>2029148435</v>
      </c>
      <c r="C8">
        <v>670</v>
      </c>
      <c r="E8" t="s">
        <v>8</v>
      </c>
      <c r="F8" t="s">
        <v>108</v>
      </c>
      <c r="G8">
        <v>2</v>
      </c>
      <c r="H8">
        <v>16</v>
      </c>
      <c r="I8">
        <v>0</v>
      </c>
      <c r="J8">
        <v>8</v>
      </c>
      <c r="K8" t="s">
        <v>72</v>
      </c>
      <c r="L8" s="18">
        <v>0.6875</v>
      </c>
      <c r="M8" t="s">
        <v>109</v>
      </c>
      <c r="N8" s="18">
        <v>0.64583333333333337</v>
      </c>
      <c r="O8" t="s">
        <v>17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20</v>
      </c>
      <c r="AC8">
        <v>18</v>
      </c>
    </row>
    <row r="9" spans="1:29" x14ac:dyDescent="0.25">
      <c r="A9">
        <v>132122453</v>
      </c>
      <c r="B9">
        <v>2031111641</v>
      </c>
      <c r="C9">
        <v>40</v>
      </c>
      <c r="E9" t="s">
        <v>8</v>
      </c>
      <c r="F9" t="s">
        <v>18</v>
      </c>
      <c r="G9">
        <v>2</v>
      </c>
      <c r="H9">
        <v>12</v>
      </c>
      <c r="I9">
        <v>0</v>
      </c>
      <c r="J9">
        <v>6</v>
      </c>
      <c r="K9" t="s">
        <v>109</v>
      </c>
      <c r="L9" s="18">
        <v>0.35416666666666669</v>
      </c>
      <c r="M9" t="s">
        <v>109</v>
      </c>
      <c r="N9" s="18">
        <v>0.64583333333333337</v>
      </c>
      <c r="O9" t="s">
        <v>17</v>
      </c>
      <c r="P9" t="s">
        <v>14</v>
      </c>
      <c r="Q9" t="s">
        <v>13</v>
      </c>
      <c r="T9" s="18">
        <v>0</v>
      </c>
      <c r="W9" s="19">
        <v>1</v>
      </c>
      <c r="Y9">
        <v>0</v>
      </c>
      <c r="Z9">
        <v>0</v>
      </c>
      <c r="AA9">
        <v>1</v>
      </c>
      <c r="AB9" t="s">
        <v>20</v>
      </c>
      <c r="AC9">
        <v>18</v>
      </c>
    </row>
    <row r="10" spans="1:29" x14ac:dyDescent="0.25">
      <c r="A10">
        <v>132686556</v>
      </c>
      <c r="B10">
        <v>2031202865</v>
      </c>
      <c r="C10">
        <v>50</v>
      </c>
      <c r="E10" t="s">
        <v>8</v>
      </c>
      <c r="F10" t="s">
        <v>110</v>
      </c>
      <c r="G10">
        <v>2</v>
      </c>
      <c r="H10">
        <v>10</v>
      </c>
      <c r="I10">
        <v>0</v>
      </c>
      <c r="J10">
        <v>5</v>
      </c>
      <c r="K10" t="s">
        <v>72</v>
      </c>
      <c r="L10" s="18">
        <v>0.39583333333333331</v>
      </c>
      <c r="M10" t="s">
        <v>72</v>
      </c>
      <c r="N10" s="18">
        <v>0.64583333333333337</v>
      </c>
      <c r="O10" t="s">
        <v>11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134188675</v>
      </c>
      <c r="B11">
        <v>2031324298</v>
      </c>
      <c r="C11">
        <v>140</v>
      </c>
      <c r="D11">
        <v>10</v>
      </c>
      <c r="E11" t="s">
        <v>8</v>
      </c>
      <c r="F11" t="s">
        <v>111</v>
      </c>
      <c r="G11">
        <v>2</v>
      </c>
      <c r="H11">
        <v>4</v>
      </c>
      <c r="I11">
        <v>0</v>
      </c>
      <c r="J11">
        <v>2</v>
      </c>
      <c r="K11" t="s">
        <v>109</v>
      </c>
      <c r="L11" s="18">
        <v>0.64583333333333337</v>
      </c>
      <c r="M11" t="s">
        <v>109</v>
      </c>
      <c r="N11" s="18">
        <v>0.72916666666666663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2</v>
      </c>
      <c r="AB11" t="s">
        <v>44</v>
      </c>
      <c r="AC11">
        <v>14</v>
      </c>
    </row>
    <row r="12" spans="1:29" x14ac:dyDescent="0.25">
      <c r="A12">
        <v>134188681</v>
      </c>
      <c r="B12">
        <v>2031324298</v>
      </c>
      <c r="C12">
        <v>160</v>
      </c>
      <c r="D12">
        <v>10</v>
      </c>
      <c r="E12" t="s">
        <v>8</v>
      </c>
      <c r="F12" t="s">
        <v>112</v>
      </c>
      <c r="G12">
        <v>2</v>
      </c>
      <c r="H12">
        <v>16</v>
      </c>
      <c r="I12">
        <v>0</v>
      </c>
      <c r="J12">
        <v>8</v>
      </c>
      <c r="K12" t="s">
        <v>109</v>
      </c>
      <c r="L12" s="18">
        <v>0.3125</v>
      </c>
      <c r="M12" t="s">
        <v>109</v>
      </c>
      <c r="N12" s="18">
        <v>0.6875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44</v>
      </c>
      <c r="AC12">
        <v>14</v>
      </c>
    </row>
    <row r="13" spans="1:29" x14ac:dyDescent="0.25">
      <c r="A13">
        <v>134188685</v>
      </c>
      <c r="B13">
        <v>2031324298</v>
      </c>
      <c r="C13">
        <v>180</v>
      </c>
      <c r="E13" t="s">
        <v>8</v>
      </c>
      <c r="F13" t="s">
        <v>45</v>
      </c>
      <c r="G13">
        <v>2</v>
      </c>
      <c r="H13">
        <v>4</v>
      </c>
      <c r="I13">
        <v>0</v>
      </c>
      <c r="J13">
        <v>2</v>
      </c>
      <c r="K13" t="s">
        <v>72</v>
      </c>
      <c r="L13" s="18">
        <v>0.64583333333333337</v>
      </c>
      <c r="M13" t="s">
        <v>72</v>
      </c>
      <c r="N13" s="18">
        <v>0.72916666666666663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44</v>
      </c>
      <c r="AC13">
        <v>14</v>
      </c>
    </row>
    <row r="14" spans="1:29" x14ac:dyDescent="0.25">
      <c r="A14">
        <v>134188689</v>
      </c>
      <c r="B14">
        <v>2031324298</v>
      </c>
      <c r="C14">
        <v>190</v>
      </c>
      <c r="E14" t="s">
        <v>8</v>
      </c>
      <c r="F14" t="s">
        <v>46</v>
      </c>
      <c r="G14">
        <v>4</v>
      </c>
      <c r="H14">
        <v>16</v>
      </c>
      <c r="I14">
        <v>0</v>
      </c>
      <c r="J14">
        <v>4</v>
      </c>
      <c r="K14" t="s">
        <v>109</v>
      </c>
      <c r="L14" s="18">
        <v>0.4375</v>
      </c>
      <c r="M14" t="s">
        <v>109</v>
      </c>
      <c r="N14" s="18">
        <v>0.64583333333333337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2</v>
      </c>
      <c r="AB14" t="s">
        <v>44</v>
      </c>
      <c r="AC14">
        <v>14</v>
      </c>
    </row>
    <row r="15" spans="1:29" x14ac:dyDescent="0.25">
      <c r="L15" s="18"/>
      <c r="N15" s="18"/>
      <c r="T15" s="18"/>
      <c r="W15" s="18"/>
    </row>
    <row r="16" spans="1:29" x14ac:dyDescent="0.25">
      <c r="L16" s="18"/>
      <c r="N16" s="18"/>
      <c r="T16" s="18"/>
      <c r="W16" s="18"/>
    </row>
    <row r="17" spans="12:23" x14ac:dyDescent="0.25">
      <c r="L17" s="18"/>
      <c r="N17" s="18"/>
      <c r="T17" s="18"/>
      <c r="W17" s="18"/>
    </row>
    <row r="18" spans="12:23" x14ac:dyDescent="0.25">
      <c r="L18" s="18"/>
      <c r="N18" s="18"/>
      <c r="T18" s="18"/>
      <c r="W18" s="18"/>
    </row>
    <row r="19" spans="12:23" x14ac:dyDescent="0.25">
      <c r="L19" s="18"/>
      <c r="N19" s="18"/>
      <c r="T19" s="18"/>
      <c r="W19" s="19"/>
    </row>
    <row r="20" spans="12:23" x14ac:dyDescent="0.25">
      <c r="L20" s="18"/>
      <c r="N20" s="18"/>
      <c r="T20" s="18"/>
      <c r="W20" s="18"/>
    </row>
    <row r="21" spans="12:23" x14ac:dyDescent="0.25">
      <c r="L21" s="18"/>
      <c r="N21" s="18"/>
      <c r="T21" s="18"/>
      <c r="W21" s="18"/>
    </row>
    <row r="22" spans="12:23" x14ac:dyDescent="0.25">
      <c r="L22" s="18"/>
      <c r="N22" s="18"/>
      <c r="T22" s="18"/>
      <c r="W22" s="18"/>
    </row>
    <row r="23" spans="12:23" x14ac:dyDescent="0.25">
      <c r="L23" s="18"/>
      <c r="N23" s="18"/>
      <c r="T23" s="18"/>
      <c r="W23" s="18"/>
    </row>
    <row r="24" spans="12:23" x14ac:dyDescent="0.25">
      <c r="L24" s="18"/>
      <c r="N24" s="18"/>
      <c r="T24" s="18"/>
      <c r="W24" s="18"/>
    </row>
    <row r="25" spans="12:23" x14ac:dyDescent="0.25">
      <c r="L25" s="18"/>
      <c r="N25" s="18"/>
      <c r="T25" s="18"/>
      <c r="W25" s="18"/>
    </row>
    <row r="26" spans="12:23" x14ac:dyDescent="0.25">
      <c r="L26" s="18"/>
      <c r="N26" s="18"/>
      <c r="T26" s="18"/>
      <c r="W26" s="18"/>
    </row>
    <row r="27" spans="12:23" x14ac:dyDescent="0.25">
      <c r="L27" s="18"/>
      <c r="N27" s="18"/>
      <c r="T27" s="18"/>
      <c r="W27" s="18"/>
    </row>
    <row r="28" spans="12:23" x14ac:dyDescent="0.25">
      <c r="L28" s="18"/>
      <c r="N28" s="18"/>
      <c r="T28" s="18"/>
      <c r="W28" s="18"/>
    </row>
    <row r="29" spans="12:23" x14ac:dyDescent="0.25">
      <c r="L29" s="18"/>
      <c r="N29" s="18"/>
      <c r="T29" s="18"/>
      <c r="W29" s="18"/>
    </row>
    <row r="30" spans="12:23" x14ac:dyDescent="0.25">
      <c r="L30" s="18"/>
      <c r="N30" s="18"/>
      <c r="T30" s="18"/>
      <c r="W30" s="18"/>
    </row>
    <row r="31" spans="12:23" x14ac:dyDescent="0.25">
      <c r="L31" s="18"/>
      <c r="N31" s="18"/>
      <c r="T31" s="18"/>
      <c r="W31" s="18"/>
    </row>
    <row r="32" spans="12:23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9"/>
    </row>
    <row r="34" spans="12:23" x14ac:dyDescent="0.25">
      <c r="L34" s="18"/>
      <c r="N34" s="18"/>
      <c r="T34" s="18"/>
      <c r="W34" s="19"/>
    </row>
    <row r="35" spans="12:23" x14ac:dyDescent="0.25">
      <c r="L35" s="18"/>
      <c r="N35" s="18"/>
      <c r="T35" s="18"/>
      <c r="W35" s="19"/>
    </row>
    <row r="36" spans="12:23" x14ac:dyDescent="0.25">
      <c r="L36" s="18"/>
      <c r="N36" s="18"/>
      <c r="T36" s="18"/>
      <c r="W36" s="19"/>
    </row>
    <row r="37" spans="12:23" x14ac:dyDescent="0.25">
      <c r="L37" s="18"/>
      <c r="N37" s="18"/>
      <c r="T37" s="18"/>
      <c r="W37" s="19"/>
    </row>
    <row r="38" spans="12:23" x14ac:dyDescent="0.25">
      <c r="L38" s="18"/>
      <c r="N38" s="18"/>
      <c r="T38" s="18"/>
      <c r="W38" s="19"/>
    </row>
    <row r="39" spans="12:23" x14ac:dyDescent="0.25">
      <c r="L39" s="18"/>
      <c r="N39" s="18"/>
      <c r="T39" s="18"/>
      <c r="W39" s="1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55"/>
  <sheetViews>
    <sheetView workbookViewId="0">
      <selection activeCell="A3" sqref="A3:AC17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80.400000000000006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122166246</v>
      </c>
      <c r="B3">
        <v>2026886835</v>
      </c>
      <c r="C3">
        <v>170</v>
      </c>
      <c r="E3" t="s">
        <v>9</v>
      </c>
      <c r="F3" t="s">
        <v>126</v>
      </c>
      <c r="G3">
        <v>2</v>
      </c>
      <c r="H3">
        <v>4</v>
      </c>
      <c r="I3">
        <v>0</v>
      </c>
      <c r="J3">
        <v>2</v>
      </c>
      <c r="K3" t="s">
        <v>109</v>
      </c>
      <c r="L3" s="18">
        <v>0.3125</v>
      </c>
      <c r="M3" t="s">
        <v>109</v>
      </c>
      <c r="N3" s="18">
        <v>0.39583333333333331</v>
      </c>
      <c r="O3" t="s">
        <v>41</v>
      </c>
      <c r="P3" t="s">
        <v>78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20</v>
      </c>
      <c r="AC3">
        <v>18</v>
      </c>
    </row>
    <row r="4" spans="1:29" x14ac:dyDescent="0.25">
      <c r="A4">
        <v>107818756</v>
      </c>
      <c r="B4">
        <v>2026886835</v>
      </c>
      <c r="C4">
        <v>175</v>
      </c>
      <c r="E4" t="s">
        <v>9</v>
      </c>
      <c r="F4" t="s">
        <v>127</v>
      </c>
      <c r="G4">
        <v>2</v>
      </c>
      <c r="H4">
        <v>12</v>
      </c>
      <c r="I4">
        <v>0</v>
      </c>
      <c r="J4">
        <v>6</v>
      </c>
      <c r="K4" t="s">
        <v>109</v>
      </c>
      <c r="L4" s="18">
        <v>0.32083333333333336</v>
      </c>
      <c r="M4" t="s">
        <v>109</v>
      </c>
      <c r="N4" s="18">
        <v>0.61250000000000004</v>
      </c>
      <c r="O4" t="s">
        <v>41</v>
      </c>
      <c r="P4" t="s">
        <v>78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20</v>
      </c>
      <c r="AC4">
        <v>18</v>
      </c>
    </row>
    <row r="5" spans="1:29" x14ac:dyDescent="0.25">
      <c r="A5">
        <v>132594685</v>
      </c>
      <c r="B5">
        <v>2029638031</v>
      </c>
      <c r="C5">
        <v>150</v>
      </c>
      <c r="E5" t="s">
        <v>9</v>
      </c>
      <c r="F5" t="s">
        <v>67</v>
      </c>
      <c r="G5">
        <v>2</v>
      </c>
      <c r="H5">
        <v>8</v>
      </c>
      <c r="I5">
        <v>0</v>
      </c>
      <c r="J5">
        <v>4</v>
      </c>
      <c r="K5" t="s">
        <v>109</v>
      </c>
      <c r="L5" s="18">
        <v>0.38930555555555557</v>
      </c>
      <c r="M5" t="s">
        <v>109</v>
      </c>
      <c r="N5" s="18">
        <v>0.63177083333333328</v>
      </c>
      <c r="O5" t="s">
        <v>41</v>
      </c>
      <c r="P5" t="s">
        <v>14</v>
      </c>
      <c r="Q5" t="s">
        <v>13</v>
      </c>
      <c r="T5" s="18">
        <v>0</v>
      </c>
      <c r="W5" s="19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29" x14ac:dyDescent="0.25">
      <c r="A6">
        <v>122395619</v>
      </c>
      <c r="B6">
        <v>2029638031</v>
      </c>
      <c r="C6">
        <v>190</v>
      </c>
      <c r="E6" t="s">
        <v>9</v>
      </c>
      <c r="F6" t="s">
        <v>128</v>
      </c>
      <c r="G6">
        <v>1</v>
      </c>
      <c r="H6">
        <v>0.2</v>
      </c>
      <c r="I6">
        <v>0</v>
      </c>
      <c r="J6">
        <v>0.2</v>
      </c>
      <c r="K6" t="s">
        <v>114</v>
      </c>
      <c r="L6" s="18">
        <v>0.46611111111111109</v>
      </c>
      <c r="M6" t="s">
        <v>114</v>
      </c>
      <c r="N6" s="18">
        <v>0.47614583333333332</v>
      </c>
      <c r="O6" t="s">
        <v>15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126209959</v>
      </c>
      <c r="B7">
        <v>2030144175</v>
      </c>
      <c r="C7">
        <v>50</v>
      </c>
      <c r="E7" t="s">
        <v>9</v>
      </c>
      <c r="F7" t="s">
        <v>68</v>
      </c>
      <c r="G7">
        <v>2</v>
      </c>
      <c r="H7">
        <v>2</v>
      </c>
      <c r="I7">
        <v>0</v>
      </c>
      <c r="J7">
        <v>1</v>
      </c>
      <c r="K7" t="s">
        <v>72</v>
      </c>
      <c r="L7" s="18">
        <v>0.6958333333333333</v>
      </c>
      <c r="M7" t="s">
        <v>109</v>
      </c>
      <c r="N7" s="18">
        <v>0.32083333333333336</v>
      </c>
      <c r="O7" t="s">
        <v>41</v>
      </c>
      <c r="P7" t="s">
        <v>14</v>
      </c>
      <c r="Q7" t="s">
        <v>13</v>
      </c>
      <c r="T7" s="18">
        <v>0</v>
      </c>
      <c r="W7" s="19">
        <v>0</v>
      </c>
      <c r="Y7">
        <v>0</v>
      </c>
      <c r="Z7">
        <v>0</v>
      </c>
      <c r="AA7">
        <v>2</v>
      </c>
      <c r="AB7" t="s">
        <v>20</v>
      </c>
      <c r="AC7">
        <v>18</v>
      </c>
    </row>
    <row r="8" spans="1:29" x14ac:dyDescent="0.25">
      <c r="A8">
        <v>126209960</v>
      </c>
      <c r="B8">
        <v>2030144175</v>
      </c>
      <c r="C8">
        <v>60</v>
      </c>
      <c r="E8" t="s">
        <v>9</v>
      </c>
      <c r="F8" t="s">
        <v>69</v>
      </c>
      <c r="G8">
        <v>2</v>
      </c>
      <c r="H8">
        <v>4</v>
      </c>
      <c r="I8">
        <v>0</v>
      </c>
      <c r="J8">
        <v>2</v>
      </c>
      <c r="K8" t="s">
        <v>72</v>
      </c>
      <c r="L8" s="18">
        <v>0.6875</v>
      </c>
      <c r="M8" t="s">
        <v>109</v>
      </c>
      <c r="N8" s="18">
        <v>0.35416666666666669</v>
      </c>
      <c r="O8" t="s">
        <v>41</v>
      </c>
      <c r="P8" t="s">
        <v>14</v>
      </c>
      <c r="Q8" t="s">
        <v>13</v>
      </c>
      <c r="T8" s="18">
        <v>0</v>
      </c>
      <c r="W8" s="19">
        <v>0</v>
      </c>
      <c r="Y8">
        <v>0</v>
      </c>
      <c r="Z8">
        <v>0</v>
      </c>
      <c r="AA8">
        <v>2</v>
      </c>
      <c r="AB8" t="s">
        <v>20</v>
      </c>
      <c r="AC8">
        <v>18</v>
      </c>
    </row>
    <row r="9" spans="1:29" x14ac:dyDescent="0.25">
      <c r="A9">
        <v>127553256</v>
      </c>
      <c r="B9">
        <v>2030261918</v>
      </c>
      <c r="C9">
        <v>30</v>
      </c>
      <c r="E9" t="s">
        <v>9</v>
      </c>
      <c r="F9" t="s">
        <v>129</v>
      </c>
      <c r="G9">
        <v>2</v>
      </c>
      <c r="H9">
        <v>16</v>
      </c>
      <c r="I9">
        <v>0</v>
      </c>
      <c r="J9">
        <v>8</v>
      </c>
      <c r="K9" t="s">
        <v>109</v>
      </c>
      <c r="L9" s="18">
        <v>0.57636574074074076</v>
      </c>
      <c r="M9" t="s">
        <v>114</v>
      </c>
      <c r="N9" s="18">
        <v>0.49303240740740739</v>
      </c>
      <c r="O9" t="s">
        <v>41</v>
      </c>
      <c r="P9" t="s">
        <v>14</v>
      </c>
      <c r="Q9" t="s">
        <v>13</v>
      </c>
      <c r="T9" s="18">
        <v>0</v>
      </c>
      <c r="W9" s="19">
        <v>0</v>
      </c>
      <c r="Y9">
        <v>0</v>
      </c>
      <c r="Z9">
        <v>0</v>
      </c>
      <c r="AA9">
        <v>2</v>
      </c>
      <c r="AB9" t="s">
        <v>20</v>
      </c>
      <c r="AC9">
        <v>18</v>
      </c>
    </row>
    <row r="10" spans="1:29" x14ac:dyDescent="0.25">
      <c r="A10">
        <v>127553260</v>
      </c>
      <c r="B10">
        <v>2030261918</v>
      </c>
      <c r="C10">
        <v>65</v>
      </c>
      <c r="E10" t="s">
        <v>9</v>
      </c>
      <c r="F10" t="s">
        <v>130</v>
      </c>
      <c r="G10">
        <v>2</v>
      </c>
      <c r="H10">
        <v>8</v>
      </c>
      <c r="I10">
        <v>0</v>
      </c>
      <c r="J10">
        <v>4</v>
      </c>
      <c r="K10" t="s">
        <v>114</v>
      </c>
      <c r="L10" s="18">
        <v>0.65317129629629633</v>
      </c>
      <c r="M10" t="s">
        <v>116</v>
      </c>
      <c r="N10" s="18">
        <v>0.44483796296296296</v>
      </c>
      <c r="O10" t="s">
        <v>41</v>
      </c>
      <c r="P10" t="s">
        <v>14</v>
      </c>
      <c r="Q10" t="s">
        <v>13</v>
      </c>
      <c r="T10" s="18">
        <v>0</v>
      </c>
      <c r="W10" s="19">
        <v>0</v>
      </c>
      <c r="Y10">
        <v>0</v>
      </c>
      <c r="Z10">
        <v>0</v>
      </c>
      <c r="AA10">
        <v>2</v>
      </c>
      <c r="AB10" t="s">
        <v>20</v>
      </c>
      <c r="AC10">
        <v>18</v>
      </c>
    </row>
    <row r="11" spans="1:29" x14ac:dyDescent="0.25">
      <c r="A11">
        <v>129011006</v>
      </c>
      <c r="B11">
        <v>2030705715</v>
      </c>
      <c r="C11">
        <v>10</v>
      </c>
      <c r="E11" t="s">
        <v>9</v>
      </c>
      <c r="F11" t="s">
        <v>131</v>
      </c>
      <c r="G11">
        <v>2</v>
      </c>
      <c r="H11">
        <v>4</v>
      </c>
      <c r="I11">
        <v>0</v>
      </c>
      <c r="J11">
        <v>2</v>
      </c>
      <c r="K11" t="s">
        <v>72</v>
      </c>
      <c r="L11" s="18">
        <v>0.3125</v>
      </c>
      <c r="M11" t="s">
        <v>72</v>
      </c>
      <c r="N11" s="18">
        <v>0.41290509259259262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129019305</v>
      </c>
      <c r="B12">
        <v>2030705715</v>
      </c>
      <c r="C12">
        <v>20</v>
      </c>
      <c r="E12" t="s">
        <v>9</v>
      </c>
      <c r="F12" t="s">
        <v>132</v>
      </c>
      <c r="G12">
        <v>1</v>
      </c>
      <c r="H12">
        <v>0.2</v>
      </c>
      <c r="I12">
        <v>0</v>
      </c>
      <c r="J12">
        <v>0.2</v>
      </c>
      <c r="K12" t="s">
        <v>72</v>
      </c>
      <c r="L12" s="18">
        <v>0.41290509259259262</v>
      </c>
      <c r="M12" t="s">
        <v>72</v>
      </c>
      <c r="N12" s="18">
        <v>0.4229398148148148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29" x14ac:dyDescent="0.25">
      <c r="A13">
        <v>130521175</v>
      </c>
      <c r="B13">
        <v>2030854280</v>
      </c>
      <c r="C13">
        <v>30</v>
      </c>
      <c r="E13" t="s">
        <v>9</v>
      </c>
      <c r="F13" t="s">
        <v>133</v>
      </c>
      <c r="G13">
        <v>2</v>
      </c>
      <c r="H13">
        <v>4</v>
      </c>
      <c r="I13">
        <v>0</v>
      </c>
      <c r="J13">
        <v>2</v>
      </c>
      <c r="K13" t="s">
        <v>72</v>
      </c>
      <c r="L13" s="18">
        <v>0.46310185185185188</v>
      </c>
      <c r="M13" t="s">
        <v>72</v>
      </c>
      <c r="N13" s="18">
        <v>0.60517361111111112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20</v>
      </c>
      <c r="AC13">
        <v>18</v>
      </c>
    </row>
    <row r="14" spans="1:29" x14ac:dyDescent="0.25">
      <c r="A14">
        <v>130521176</v>
      </c>
      <c r="B14">
        <v>2030854280</v>
      </c>
      <c r="C14">
        <v>40</v>
      </c>
      <c r="E14" t="s">
        <v>9</v>
      </c>
      <c r="F14" t="s">
        <v>134</v>
      </c>
      <c r="G14">
        <v>2</v>
      </c>
      <c r="H14">
        <v>6</v>
      </c>
      <c r="I14">
        <v>0</v>
      </c>
      <c r="J14">
        <v>3</v>
      </c>
      <c r="K14" t="s">
        <v>72</v>
      </c>
      <c r="L14" s="18">
        <v>0.61019675925925931</v>
      </c>
      <c r="M14" t="s">
        <v>109</v>
      </c>
      <c r="N14" s="18">
        <v>0.34413194444444445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20</v>
      </c>
      <c r="AC14">
        <v>18</v>
      </c>
    </row>
    <row r="15" spans="1:29" x14ac:dyDescent="0.25">
      <c r="A15">
        <v>130521177</v>
      </c>
      <c r="B15">
        <v>2030854280</v>
      </c>
      <c r="C15">
        <v>50</v>
      </c>
      <c r="E15" t="s">
        <v>9</v>
      </c>
      <c r="F15" t="s">
        <v>135</v>
      </c>
      <c r="G15">
        <v>2</v>
      </c>
      <c r="H15">
        <v>4</v>
      </c>
      <c r="I15">
        <v>0</v>
      </c>
      <c r="J15">
        <v>2</v>
      </c>
      <c r="K15" t="s">
        <v>109</v>
      </c>
      <c r="L15" s="18">
        <v>0.34413194444444445</v>
      </c>
      <c r="M15" t="s">
        <v>109</v>
      </c>
      <c r="N15" s="18">
        <v>0.44453703703703706</v>
      </c>
      <c r="O15" t="s">
        <v>11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18</v>
      </c>
    </row>
    <row r="16" spans="1:29" x14ac:dyDescent="0.25">
      <c r="A16">
        <v>133561853</v>
      </c>
      <c r="B16">
        <v>2031349580</v>
      </c>
      <c r="C16">
        <v>110</v>
      </c>
      <c r="E16" t="s">
        <v>9</v>
      </c>
      <c r="F16" t="s">
        <v>81</v>
      </c>
      <c r="G16">
        <v>2</v>
      </c>
      <c r="H16">
        <v>4</v>
      </c>
      <c r="I16">
        <v>0</v>
      </c>
      <c r="J16">
        <v>2</v>
      </c>
      <c r="K16" t="s">
        <v>72</v>
      </c>
      <c r="L16" s="18">
        <v>0.65537037037037038</v>
      </c>
      <c r="M16" t="s">
        <v>109</v>
      </c>
      <c r="N16" s="18">
        <v>0.33910879629629631</v>
      </c>
      <c r="O16" t="s">
        <v>41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B16" t="s">
        <v>20</v>
      </c>
      <c r="AC16">
        <v>14</v>
      </c>
    </row>
    <row r="17" spans="1:29" x14ac:dyDescent="0.25">
      <c r="A17">
        <v>133561856</v>
      </c>
      <c r="B17">
        <v>2031349580</v>
      </c>
      <c r="C17">
        <v>140</v>
      </c>
      <c r="E17" t="s">
        <v>9</v>
      </c>
      <c r="F17" t="s">
        <v>136</v>
      </c>
      <c r="G17">
        <v>2</v>
      </c>
      <c r="H17">
        <v>4</v>
      </c>
      <c r="I17">
        <v>0</v>
      </c>
      <c r="J17">
        <v>2</v>
      </c>
      <c r="K17" t="s">
        <v>114</v>
      </c>
      <c r="L17" s="18">
        <v>0.41591435185185183</v>
      </c>
      <c r="M17" t="s">
        <v>114</v>
      </c>
      <c r="N17" s="18">
        <v>0.55798611111111107</v>
      </c>
      <c r="O17" t="s">
        <v>41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B17" t="s">
        <v>20</v>
      </c>
      <c r="AC17">
        <v>14</v>
      </c>
    </row>
    <row r="18" spans="1:29" x14ac:dyDescent="0.25">
      <c r="L18" s="18"/>
      <c r="N18" s="18"/>
      <c r="T18" s="18"/>
      <c r="W18" s="18"/>
    </row>
    <row r="19" spans="1:29" x14ac:dyDescent="0.25">
      <c r="L19" s="18"/>
      <c r="N19" s="18"/>
      <c r="T19" s="18"/>
      <c r="W19" s="18"/>
    </row>
    <row r="20" spans="1:29" x14ac:dyDescent="0.25">
      <c r="L20" s="18"/>
      <c r="N20" s="18"/>
      <c r="T20" s="18"/>
      <c r="W20" s="18"/>
    </row>
    <row r="21" spans="1:29" x14ac:dyDescent="0.25">
      <c r="L21" s="18"/>
      <c r="N21" s="18"/>
      <c r="T21" s="18"/>
      <c r="W21" s="18"/>
    </row>
    <row r="22" spans="1:29" x14ac:dyDescent="0.25">
      <c r="L22" s="18"/>
      <c r="N22" s="18"/>
      <c r="T22" s="18"/>
      <c r="W22" s="18"/>
    </row>
    <row r="23" spans="1:29" x14ac:dyDescent="0.25">
      <c r="L23" s="18"/>
      <c r="N23" s="18"/>
      <c r="T23" s="18"/>
      <c r="W23" s="18"/>
    </row>
    <row r="24" spans="1:29" x14ac:dyDescent="0.25">
      <c r="L24" s="18"/>
      <c r="N24" s="18"/>
      <c r="T24" s="18"/>
      <c r="W24" s="18"/>
    </row>
    <row r="25" spans="1:29" x14ac:dyDescent="0.25">
      <c r="L25" s="18"/>
      <c r="N25" s="18"/>
      <c r="T25" s="18"/>
      <c r="W25" s="18"/>
    </row>
    <row r="26" spans="1:29" x14ac:dyDescent="0.25">
      <c r="L26" s="18"/>
      <c r="N26" s="18"/>
      <c r="T26" s="18"/>
      <c r="W26" s="18"/>
    </row>
    <row r="27" spans="1:29" x14ac:dyDescent="0.25">
      <c r="L27" s="18"/>
      <c r="N27" s="18"/>
      <c r="T27" s="18"/>
      <c r="W27" s="18"/>
    </row>
    <row r="28" spans="1:29" x14ac:dyDescent="0.25">
      <c r="L28" s="18"/>
      <c r="N28" s="18"/>
      <c r="T28" s="18"/>
      <c r="W28" s="18"/>
    </row>
    <row r="29" spans="1:29" x14ac:dyDescent="0.25">
      <c r="L29" s="18"/>
      <c r="N29" s="18"/>
      <c r="T29" s="18"/>
      <c r="W29" s="18"/>
    </row>
    <row r="30" spans="1:29" x14ac:dyDescent="0.25">
      <c r="L30" s="18"/>
      <c r="N30" s="18"/>
      <c r="T30" s="18"/>
      <c r="W30" s="18"/>
    </row>
    <row r="31" spans="1:29" x14ac:dyDescent="0.25">
      <c r="L31" s="18"/>
      <c r="N31" s="18"/>
      <c r="T31" s="18"/>
      <c r="W31" s="18"/>
    </row>
    <row r="32" spans="1:29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8"/>
    </row>
    <row r="34" spans="12:23" x14ac:dyDescent="0.25">
      <c r="L34" s="18"/>
      <c r="N34" s="18"/>
      <c r="T34" s="18"/>
      <c r="W34" s="18"/>
    </row>
    <row r="35" spans="12:23" x14ac:dyDescent="0.25">
      <c r="L35" s="18"/>
      <c r="N35" s="18"/>
      <c r="T35" s="18"/>
      <c r="W35" s="18"/>
    </row>
    <row r="36" spans="12:23" x14ac:dyDescent="0.25">
      <c r="L36" s="18"/>
      <c r="N36" s="18"/>
      <c r="T36" s="18"/>
      <c r="W36" s="18"/>
    </row>
    <row r="37" spans="12:23" x14ac:dyDescent="0.25">
      <c r="L37" s="18"/>
      <c r="N37" s="18"/>
      <c r="T37" s="18"/>
      <c r="W37" s="18"/>
    </row>
    <row r="38" spans="12:23" x14ac:dyDescent="0.25">
      <c r="L38" s="18"/>
      <c r="N38" s="18"/>
      <c r="T38" s="18"/>
      <c r="W38" s="18"/>
    </row>
    <row r="39" spans="12:23" x14ac:dyDescent="0.25">
      <c r="L39" s="18"/>
      <c r="N39" s="18"/>
      <c r="T39" s="18"/>
      <c r="W39" s="18"/>
    </row>
    <row r="40" spans="12:23" x14ac:dyDescent="0.25">
      <c r="L40" s="18"/>
      <c r="N40" s="18"/>
      <c r="T40" s="18"/>
      <c r="W40" s="18"/>
    </row>
    <row r="41" spans="12:23" x14ac:dyDescent="0.25">
      <c r="L41" s="18"/>
      <c r="N41" s="18"/>
      <c r="T41" s="18"/>
      <c r="W41" s="18"/>
    </row>
    <row r="42" spans="12:23" x14ac:dyDescent="0.25">
      <c r="L42" s="18"/>
      <c r="N42" s="18"/>
      <c r="T42" s="18"/>
      <c r="W42" s="18"/>
    </row>
    <row r="43" spans="12:23" x14ac:dyDescent="0.25">
      <c r="L43" s="18"/>
      <c r="N43" s="18"/>
      <c r="T43" s="18"/>
      <c r="W43" s="18"/>
    </row>
    <row r="44" spans="12:23" x14ac:dyDescent="0.25">
      <c r="L44" s="18"/>
      <c r="N44" s="18"/>
      <c r="T44" s="18"/>
      <c r="W44" s="18"/>
    </row>
    <row r="45" spans="12:23" x14ac:dyDescent="0.25">
      <c r="L45" s="18"/>
      <c r="N45" s="18"/>
      <c r="T45" s="18"/>
      <c r="W45" s="18"/>
    </row>
    <row r="46" spans="12:23" x14ac:dyDescent="0.25">
      <c r="L46" s="18"/>
      <c r="N46" s="18"/>
      <c r="T46" s="18"/>
      <c r="W46" s="18"/>
    </row>
    <row r="47" spans="12:23" x14ac:dyDescent="0.25">
      <c r="L47" s="18"/>
      <c r="N47" s="18"/>
      <c r="T47" s="18"/>
      <c r="W47" s="18"/>
    </row>
    <row r="48" spans="12:23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8"/>
    </row>
    <row r="50" spans="12:23" x14ac:dyDescent="0.25">
      <c r="L50" s="18"/>
      <c r="N50" s="18"/>
      <c r="T50" s="18"/>
      <c r="W50" s="18"/>
    </row>
    <row r="51" spans="12:23" x14ac:dyDescent="0.25">
      <c r="L51" s="18"/>
      <c r="N51" s="18"/>
      <c r="T51" s="18"/>
      <c r="W51" s="19"/>
    </row>
    <row r="52" spans="12:23" x14ac:dyDescent="0.25">
      <c r="L52" s="18"/>
      <c r="N52" s="18"/>
      <c r="T52" s="18"/>
      <c r="W52" s="18"/>
    </row>
    <row r="53" spans="12:23" x14ac:dyDescent="0.25">
      <c r="L53" s="18"/>
      <c r="N53" s="18"/>
      <c r="T53" s="18"/>
      <c r="W53" s="19"/>
    </row>
    <row r="54" spans="12:23" x14ac:dyDescent="0.25">
      <c r="L54" s="18"/>
      <c r="N54" s="18"/>
      <c r="T54" s="18"/>
      <c r="W54" s="19"/>
    </row>
    <row r="55" spans="12:23" x14ac:dyDescent="0.25">
      <c r="L55" s="18"/>
      <c r="N55" s="18"/>
      <c r="T55" s="18"/>
      <c r="W5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53"/>
  <sheetViews>
    <sheetView workbookViewId="0">
      <selection activeCell="A3" sqref="A3:AC18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246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116865503</v>
      </c>
      <c r="B3">
        <v>2028602603</v>
      </c>
      <c r="C3">
        <v>25</v>
      </c>
      <c r="E3" t="s">
        <v>10</v>
      </c>
      <c r="F3" t="s">
        <v>85</v>
      </c>
      <c r="G3">
        <v>4</v>
      </c>
      <c r="H3">
        <v>8</v>
      </c>
      <c r="I3">
        <v>0</v>
      </c>
      <c r="J3">
        <v>2</v>
      </c>
      <c r="K3" t="s">
        <v>72</v>
      </c>
      <c r="L3" s="18">
        <v>0.60416666666666663</v>
      </c>
      <c r="M3" t="s">
        <v>72</v>
      </c>
      <c r="N3" s="18">
        <v>0.6875</v>
      </c>
      <c r="O3" t="s">
        <v>19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20</v>
      </c>
      <c r="AC3">
        <v>18</v>
      </c>
    </row>
    <row r="4" spans="1:29" x14ac:dyDescent="0.25">
      <c r="A4">
        <v>116865505</v>
      </c>
      <c r="B4">
        <v>2028602604</v>
      </c>
      <c r="C4">
        <v>35</v>
      </c>
      <c r="E4" t="s">
        <v>10</v>
      </c>
      <c r="F4" t="s">
        <v>86</v>
      </c>
      <c r="G4">
        <v>4</v>
      </c>
      <c r="H4">
        <v>8</v>
      </c>
      <c r="I4">
        <v>0</v>
      </c>
      <c r="J4">
        <v>2</v>
      </c>
      <c r="K4" t="s">
        <v>72</v>
      </c>
      <c r="L4" s="18">
        <v>0.60416666666666663</v>
      </c>
      <c r="M4" t="s">
        <v>72</v>
      </c>
      <c r="N4" s="18">
        <v>0.6875</v>
      </c>
      <c r="O4" t="s">
        <v>19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20</v>
      </c>
      <c r="AC4">
        <v>18</v>
      </c>
    </row>
    <row r="5" spans="1:29" x14ac:dyDescent="0.25">
      <c r="A5">
        <v>117335993</v>
      </c>
      <c r="B5">
        <v>2028758459</v>
      </c>
      <c r="C5">
        <v>350</v>
      </c>
      <c r="E5" t="s">
        <v>10</v>
      </c>
      <c r="F5" t="s">
        <v>155</v>
      </c>
      <c r="G5">
        <v>4</v>
      </c>
      <c r="H5">
        <v>16</v>
      </c>
      <c r="I5">
        <v>0</v>
      </c>
      <c r="J5">
        <v>4</v>
      </c>
      <c r="K5" t="s">
        <v>72</v>
      </c>
      <c r="L5" s="18">
        <v>0.36269675925925926</v>
      </c>
      <c r="M5" t="s">
        <v>72</v>
      </c>
      <c r="N5" s="18">
        <v>0.57103009259259263</v>
      </c>
      <c r="O5" t="s">
        <v>40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29" x14ac:dyDescent="0.25">
      <c r="A6">
        <v>120725831</v>
      </c>
      <c r="B6">
        <v>2029363269</v>
      </c>
      <c r="C6">
        <v>30</v>
      </c>
      <c r="E6" t="s">
        <v>10</v>
      </c>
      <c r="F6" t="s">
        <v>156</v>
      </c>
      <c r="G6">
        <v>4</v>
      </c>
      <c r="H6">
        <v>8</v>
      </c>
      <c r="I6">
        <v>0</v>
      </c>
      <c r="J6">
        <v>2</v>
      </c>
      <c r="K6" t="s">
        <v>72</v>
      </c>
      <c r="L6" s="18">
        <v>0.36269675925925926</v>
      </c>
      <c r="M6" t="s">
        <v>72</v>
      </c>
      <c r="N6" s="18">
        <v>0.44603009259259258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123079916</v>
      </c>
      <c r="B7">
        <v>2029663042</v>
      </c>
      <c r="C7">
        <v>120</v>
      </c>
      <c r="E7" t="s">
        <v>10</v>
      </c>
      <c r="F7" t="s">
        <v>89</v>
      </c>
      <c r="G7">
        <v>8</v>
      </c>
      <c r="H7">
        <v>32</v>
      </c>
      <c r="I7">
        <v>0</v>
      </c>
      <c r="J7">
        <v>4</v>
      </c>
      <c r="K7" t="s">
        <v>109</v>
      </c>
      <c r="L7" s="18">
        <v>0.64583333333333337</v>
      </c>
      <c r="M7" t="s">
        <v>114</v>
      </c>
      <c r="N7" s="18">
        <v>0.39583333333333331</v>
      </c>
      <c r="O7" t="s">
        <v>40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127553259</v>
      </c>
      <c r="B8">
        <v>2030261918</v>
      </c>
      <c r="C8">
        <v>50</v>
      </c>
      <c r="E8" t="s">
        <v>10</v>
      </c>
      <c r="F8" t="s">
        <v>90</v>
      </c>
      <c r="G8">
        <v>4</v>
      </c>
      <c r="H8">
        <v>16</v>
      </c>
      <c r="I8">
        <v>0</v>
      </c>
      <c r="J8">
        <v>4</v>
      </c>
      <c r="K8" t="s">
        <v>114</v>
      </c>
      <c r="L8" s="18">
        <v>0.41070601851851851</v>
      </c>
      <c r="M8" t="s">
        <v>114</v>
      </c>
      <c r="N8" s="18">
        <v>0.61903935185185188</v>
      </c>
      <c r="O8" t="s">
        <v>19</v>
      </c>
      <c r="P8" t="s">
        <v>14</v>
      </c>
      <c r="Q8" t="s">
        <v>13</v>
      </c>
      <c r="T8" s="18">
        <v>0</v>
      </c>
      <c r="W8" s="19">
        <v>0</v>
      </c>
      <c r="Y8">
        <v>0</v>
      </c>
      <c r="Z8">
        <v>0</v>
      </c>
      <c r="AA8">
        <v>2</v>
      </c>
      <c r="AB8" t="s">
        <v>20</v>
      </c>
      <c r="AC8">
        <v>18</v>
      </c>
    </row>
    <row r="9" spans="1:29" x14ac:dyDescent="0.25">
      <c r="A9">
        <v>133333794</v>
      </c>
      <c r="B9">
        <v>2030471834</v>
      </c>
      <c r="C9">
        <v>5</v>
      </c>
      <c r="E9" t="s">
        <v>10</v>
      </c>
      <c r="F9" t="s">
        <v>91</v>
      </c>
      <c r="G9">
        <v>4</v>
      </c>
      <c r="H9">
        <v>16</v>
      </c>
      <c r="I9">
        <v>0</v>
      </c>
      <c r="J9">
        <v>4</v>
      </c>
      <c r="K9" t="s">
        <v>72</v>
      </c>
      <c r="L9" s="18">
        <v>0.66666666666666663</v>
      </c>
      <c r="M9" t="s">
        <v>109</v>
      </c>
      <c r="N9" s="18">
        <v>0.41666666666666669</v>
      </c>
      <c r="O9" t="s">
        <v>40</v>
      </c>
      <c r="P9" t="s">
        <v>14</v>
      </c>
      <c r="Q9" t="s">
        <v>42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20</v>
      </c>
      <c r="AC9">
        <v>18</v>
      </c>
    </row>
    <row r="10" spans="1:29" x14ac:dyDescent="0.25">
      <c r="A10">
        <v>132037085</v>
      </c>
      <c r="B10">
        <v>2031083233</v>
      </c>
      <c r="C10">
        <v>60</v>
      </c>
      <c r="E10" t="s">
        <v>10</v>
      </c>
      <c r="F10" t="s">
        <v>96</v>
      </c>
      <c r="G10">
        <v>4</v>
      </c>
      <c r="H10">
        <v>6</v>
      </c>
      <c r="I10">
        <v>0</v>
      </c>
      <c r="J10">
        <v>1.5</v>
      </c>
      <c r="K10" t="s">
        <v>72</v>
      </c>
      <c r="L10" s="18">
        <v>0.6875</v>
      </c>
      <c r="M10" t="s">
        <v>109</v>
      </c>
      <c r="N10" s="18">
        <v>0.33333333333333331</v>
      </c>
      <c r="O10" t="s">
        <v>19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133125981</v>
      </c>
      <c r="B11">
        <v>2031265718</v>
      </c>
      <c r="C11">
        <v>10</v>
      </c>
      <c r="E11" t="s">
        <v>10</v>
      </c>
      <c r="F11" t="s">
        <v>98</v>
      </c>
      <c r="G11">
        <v>4</v>
      </c>
      <c r="H11">
        <v>24</v>
      </c>
      <c r="I11">
        <v>0</v>
      </c>
      <c r="J11">
        <v>6</v>
      </c>
      <c r="K11" t="s">
        <v>109</v>
      </c>
      <c r="L11" s="18">
        <v>0.33333333333333331</v>
      </c>
      <c r="M11" t="s">
        <v>109</v>
      </c>
      <c r="N11" s="18">
        <v>0.625</v>
      </c>
      <c r="O11" t="s">
        <v>19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133419327</v>
      </c>
      <c r="B12">
        <v>2031324293</v>
      </c>
      <c r="C12">
        <v>10</v>
      </c>
      <c r="E12" t="s">
        <v>10</v>
      </c>
      <c r="F12" t="s">
        <v>99</v>
      </c>
      <c r="G12">
        <v>4</v>
      </c>
      <c r="H12">
        <v>12</v>
      </c>
      <c r="I12">
        <v>0</v>
      </c>
      <c r="J12">
        <v>3</v>
      </c>
      <c r="K12" t="s">
        <v>109</v>
      </c>
      <c r="L12" s="18">
        <v>0.33333333333333331</v>
      </c>
      <c r="M12" t="s">
        <v>109</v>
      </c>
      <c r="N12" s="18">
        <v>0.45833333333333331</v>
      </c>
      <c r="O12" t="s">
        <v>19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29" x14ac:dyDescent="0.25">
      <c r="A13">
        <v>133561852</v>
      </c>
      <c r="B13">
        <v>2031349580</v>
      </c>
      <c r="C13">
        <v>100</v>
      </c>
      <c r="E13" t="s">
        <v>10</v>
      </c>
      <c r="F13" t="s">
        <v>100</v>
      </c>
      <c r="G13">
        <v>4</v>
      </c>
      <c r="H13">
        <v>24</v>
      </c>
      <c r="I13">
        <v>0</v>
      </c>
      <c r="J13">
        <v>6</v>
      </c>
      <c r="K13" t="s">
        <v>72</v>
      </c>
      <c r="L13" s="18">
        <v>0.3125</v>
      </c>
      <c r="M13" t="s">
        <v>72</v>
      </c>
      <c r="N13" s="18">
        <v>0.65537037037037038</v>
      </c>
      <c r="O13" t="s">
        <v>19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B13" t="s">
        <v>20</v>
      </c>
      <c r="AC13">
        <v>14</v>
      </c>
    </row>
    <row r="14" spans="1:29" x14ac:dyDescent="0.25">
      <c r="A14">
        <v>133561854</v>
      </c>
      <c r="B14">
        <v>2031349580</v>
      </c>
      <c r="C14">
        <v>120</v>
      </c>
      <c r="E14" t="s">
        <v>10</v>
      </c>
      <c r="F14" t="s">
        <v>101</v>
      </c>
      <c r="G14">
        <v>4</v>
      </c>
      <c r="H14">
        <v>12</v>
      </c>
      <c r="I14">
        <v>0</v>
      </c>
      <c r="J14">
        <v>3</v>
      </c>
      <c r="K14" t="s">
        <v>109</v>
      </c>
      <c r="L14" s="18">
        <v>0.33910879629629631</v>
      </c>
      <c r="M14" t="s">
        <v>109</v>
      </c>
      <c r="N14" s="18">
        <v>0.48971064814814813</v>
      </c>
      <c r="O14" t="s">
        <v>19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B14" t="s">
        <v>20</v>
      </c>
      <c r="AC14">
        <v>14</v>
      </c>
    </row>
    <row r="15" spans="1:29" x14ac:dyDescent="0.25">
      <c r="A15">
        <v>133561855</v>
      </c>
      <c r="B15">
        <v>2031349580</v>
      </c>
      <c r="C15">
        <v>130</v>
      </c>
      <c r="E15" t="s">
        <v>10</v>
      </c>
      <c r="F15" t="s">
        <v>102</v>
      </c>
      <c r="G15">
        <v>4</v>
      </c>
      <c r="H15">
        <v>24</v>
      </c>
      <c r="I15">
        <v>0</v>
      </c>
      <c r="J15">
        <v>6</v>
      </c>
      <c r="K15" t="s">
        <v>109</v>
      </c>
      <c r="L15" s="18">
        <v>0.48971064814814813</v>
      </c>
      <c r="M15" t="s">
        <v>114</v>
      </c>
      <c r="N15" s="18">
        <v>0.41591435185185183</v>
      </c>
      <c r="O15" t="s">
        <v>19</v>
      </c>
      <c r="P15" t="s">
        <v>14</v>
      </c>
      <c r="Q15" t="s">
        <v>13</v>
      </c>
      <c r="T15" s="18">
        <v>0</v>
      </c>
      <c r="W15" s="19">
        <v>0</v>
      </c>
      <c r="Y15">
        <v>0</v>
      </c>
      <c r="Z15">
        <v>0</v>
      </c>
      <c r="AB15" t="s">
        <v>20</v>
      </c>
      <c r="AC15">
        <v>14</v>
      </c>
    </row>
    <row r="16" spans="1:29" x14ac:dyDescent="0.25">
      <c r="A16">
        <v>133561857</v>
      </c>
      <c r="B16">
        <v>2031349580</v>
      </c>
      <c r="C16">
        <v>150</v>
      </c>
      <c r="E16" t="s">
        <v>10</v>
      </c>
      <c r="F16" t="s">
        <v>157</v>
      </c>
      <c r="G16">
        <v>4</v>
      </c>
      <c r="H16">
        <v>12</v>
      </c>
      <c r="I16">
        <v>0</v>
      </c>
      <c r="J16">
        <v>3</v>
      </c>
      <c r="K16" t="s">
        <v>114</v>
      </c>
      <c r="L16" s="18">
        <v>0.55798611111111107</v>
      </c>
      <c r="M16" t="s">
        <v>116</v>
      </c>
      <c r="N16" s="18">
        <v>0.33358796296296295</v>
      </c>
      <c r="O16" t="s">
        <v>19</v>
      </c>
      <c r="P16" t="s">
        <v>14</v>
      </c>
      <c r="Q16" t="s">
        <v>13</v>
      </c>
      <c r="T16" s="18">
        <v>0</v>
      </c>
      <c r="W16" s="19">
        <v>0</v>
      </c>
      <c r="Y16">
        <v>0</v>
      </c>
      <c r="Z16">
        <v>0</v>
      </c>
      <c r="AB16" t="s">
        <v>20</v>
      </c>
      <c r="AC16">
        <v>14</v>
      </c>
    </row>
    <row r="17" spans="1:29" x14ac:dyDescent="0.25">
      <c r="A17">
        <v>133894525</v>
      </c>
      <c r="B17">
        <v>2031394724</v>
      </c>
      <c r="C17">
        <v>130</v>
      </c>
      <c r="E17" t="s">
        <v>10</v>
      </c>
      <c r="F17" t="s">
        <v>158</v>
      </c>
      <c r="G17">
        <v>4</v>
      </c>
      <c r="H17">
        <v>12</v>
      </c>
      <c r="I17">
        <v>0</v>
      </c>
      <c r="J17">
        <v>3</v>
      </c>
      <c r="K17" t="s">
        <v>109</v>
      </c>
      <c r="L17" s="18">
        <v>0.47916666666666669</v>
      </c>
      <c r="M17" t="s">
        <v>109</v>
      </c>
      <c r="N17" s="18">
        <v>0.64583333333333337</v>
      </c>
      <c r="O17" t="s">
        <v>40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18</v>
      </c>
    </row>
    <row r="18" spans="1:29" x14ac:dyDescent="0.25">
      <c r="A18">
        <v>134019363</v>
      </c>
      <c r="B18">
        <v>2031395327</v>
      </c>
      <c r="C18">
        <v>5</v>
      </c>
      <c r="E18" t="s">
        <v>10</v>
      </c>
      <c r="F18" t="s">
        <v>103</v>
      </c>
      <c r="G18">
        <v>4</v>
      </c>
      <c r="H18">
        <v>16</v>
      </c>
      <c r="I18">
        <v>0</v>
      </c>
      <c r="J18">
        <v>4</v>
      </c>
      <c r="K18" t="s">
        <v>72</v>
      </c>
      <c r="L18" s="18">
        <v>0.3125</v>
      </c>
      <c r="M18" t="s">
        <v>72</v>
      </c>
      <c r="N18" s="18">
        <v>0.55496527777777782</v>
      </c>
      <c r="O18" t="s">
        <v>40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20</v>
      </c>
      <c r="AC18">
        <v>18</v>
      </c>
    </row>
    <row r="19" spans="1:29" x14ac:dyDescent="0.25">
      <c r="L19" s="18"/>
      <c r="N19" s="18"/>
      <c r="T19" s="18"/>
      <c r="W19" s="18"/>
    </row>
    <row r="20" spans="1:29" x14ac:dyDescent="0.25">
      <c r="L20" s="18"/>
      <c r="N20" s="18"/>
      <c r="T20" s="18"/>
      <c r="W20" s="18"/>
    </row>
    <row r="21" spans="1:29" x14ac:dyDescent="0.25">
      <c r="L21" s="18"/>
      <c r="N21" s="18"/>
      <c r="T21" s="18"/>
      <c r="W21" s="18"/>
    </row>
    <row r="22" spans="1:29" x14ac:dyDescent="0.25">
      <c r="L22" s="18"/>
      <c r="N22" s="18"/>
      <c r="T22" s="18"/>
      <c r="W22" s="19"/>
    </row>
    <row r="23" spans="1:29" x14ac:dyDescent="0.25">
      <c r="L23" s="18"/>
      <c r="N23" s="18"/>
      <c r="T23" s="18"/>
      <c r="W23" s="18"/>
    </row>
    <row r="24" spans="1:29" x14ac:dyDescent="0.25">
      <c r="L24" s="18"/>
      <c r="N24" s="18"/>
      <c r="T24" s="18"/>
      <c r="W24" s="18"/>
    </row>
    <row r="25" spans="1:29" x14ac:dyDescent="0.25">
      <c r="L25" s="18"/>
      <c r="N25" s="18"/>
      <c r="T25" s="18"/>
      <c r="W25" s="19"/>
    </row>
    <row r="26" spans="1:29" x14ac:dyDescent="0.25">
      <c r="L26" s="18"/>
      <c r="N26" s="18"/>
      <c r="T26" s="18"/>
      <c r="W26" s="19"/>
    </row>
    <row r="27" spans="1:29" x14ac:dyDescent="0.25">
      <c r="L27" s="18"/>
      <c r="N27" s="18"/>
      <c r="T27" s="18"/>
      <c r="W27" s="19"/>
    </row>
    <row r="28" spans="1:29" x14ac:dyDescent="0.25">
      <c r="L28" s="18"/>
      <c r="N28" s="18"/>
      <c r="T28" s="18"/>
      <c r="W28" s="19"/>
    </row>
    <row r="29" spans="1:29" x14ac:dyDescent="0.25">
      <c r="L29" s="18"/>
      <c r="N29" s="18"/>
      <c r="T29" s="18"/>
      <c r="W29" s="19"/>
    </row>
    <row r="30" spans="1:29" x14ac:dyDescent="0.25">
      <c r="L30" s="18"/>
      <c r="N30" s="18"/>
      <c r="T30" s="18"/>
      <c r="W30" s="18"/>
    </row>
    <row r="31" spans="1:29" x14ac:dyDescent="0.25">
      <c r="L31" s="18"/>
      <c r="N31" s="18"/>
      <c r="T31" s="18"/>
      <c r="W31" s="18"/>
    </row>
    <row r="32" spans="1:29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8"/>
    </row>
    <row r="34" spans="12:23" x14ac:dyDescent="0.25">
      <c r="L34" s="18"/>
      <c r="N34" s="18"/>
      <c r="T34" s="18"/>
      <c r="W34" s="18"/>
    </row>
    <row r="35" spans="12:23" x14ac:dyDescent="0.25">
      <c r="L35" s="18"/>
      <c r="N35" s="18"/>
      <c r="T35" s="18"/>
      <c r="W35" s="18"/>
    </row>
    <row r="36" spans="12:23" x14ac:dyDescent="0.25">
      <c r="L36" s="18"/>
      <c r="N36" s="18"/>
      <c r="T36" s="18"/>
      <c r="W36" s="18"/>
    </row>
    <row r="37" spans="12:23" x14ac:dyDescent="0.25">
      <c r="L37" s="18"/>
      <c r="N37" s="18"/>
      <c r="T37" s="18"/>
      <c r="W37" s="18"/>
    </row>
    <row r="38" spans="12:23" x14ac:dyDescent="0.25">
      <c r="L38" s="18"/>
      <c r="N38" s="18"/>
      <c r="T38" s="18"/>
      <c r="W38" s="18"/>
    </row>
    <row r="39" spans="12:23" x14ac:dyDescent="0.25">
      <c r="L39" s="18"/>
      <c r="N39" s="18"/>
      <c r="T39" s="18"/>
      <c r="W39" s="18"/>
    </row>
    <row r="40" spans="12:23" x14ac:dyDescent="0.25">
      <c r="L40" s="18"/>
      <c r="N40" s="18"/>
      <c r="T40" s="18"/>
      <c r="W40" s="18"/>
    </row>
    <row r="41" spans="12:23" x14ac:dyDescent="0.25">
      <c r="L41" s="18"/>
      <c r="N41" s="18"/>
      <c r="T41" s="18"/>
      <c r="W41" s="18"/>
    </row>
    <row r="42" spans="12:23" x14ac:dyDescent="0.25">
      <c r="L42" s="18"/>
      <c r="N42" s="18"/>
      <c r="T42" s="18"/>
      <c r="W42" s="19"/>
    </row>
    <row r="43" spans="12:23" x14ac:dyDescent="0.25">
      <c r="L43" s="18"/>
      <c r="N43" s="18"/>
      <c r="T43" s="18"/>
      <c r="W43" s="18"/>
    </row>
    <row r="44" spans="12:23" x14ac:dyDescent="0.25">
      <c r="L44" s="18"/>
      <c r="N44" s="18"/>
      <c r="T44" s="18"/>
      <c r="W44" s="18"/>
    </row>
    <row r="45" spans="12:23" x14ac:dyDescent="0.25">
      <c r="L45" s="18"/>
      <c r="N45" s="18"/>
      <c r="T45" s="18"/>
      <c r="W45" s="18"/>
    </row>
    <row r="46" spans="12:23" x14ac:dyDescent="0.25">
      <c r="L46" s="18"/>
      <c r="N46" s="18"/>
      <c r="T46" s="18"/>
      <c r="W46" s="19"/>
    </row>
    <row r="47" spans="12:23" x14ac:dyDescent="0.25">
      <c r="L47" s="18"/>
      <c r="N47" s="18"/>
      <c r="T47" s="18"/>
      <c r="W47" s="18"/>
    </row>
    <row r="48" spans="12:23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9"/>
    </row>
    <row r="50" spans="12:23" x14ac:dyDescent="0.25">
      <c r="L50" s="18"/>
      <c r="N50" s="18"/>
      <c r="T50" s="18"/>
      <c r="W50" s="19"/>
    </row>
    <row r="51" spans="12:23" x14ac:dyDescent="0.25">
      <c r="L51" s="18"/>
      <c r="N51" s="18"/>
      <c r="T51" s="18"/>
      <c r="W51" s="19"/>
    </row>
    <row r="52" spans="12:23" x14ac:dyDescent="0.25">
      <c r="L52" s="18"/>
      <c r="N52" s="18"/>
      <c r="T52" s="18"/>
      <c r="W52" s="19"/>
    </row>
    <row r="53" spans="12:23" x14ac:dyDescent="0.25">
      <c r="L53" s="18"/>
      <c r="N53" s="18"/>
      <c r="T53" s="18"/>
      <c r="W53" s="1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40"/>
  <sheetViews>
    <sheetView workbookViewId="0">
      <selection activeCell="A3" sqref="A3:AC27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420.2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129596773</v>
      </c>
      <c r="B3">
        <v>2029484416</v>
      </c>
      <c r="C3">
        <v>150</v>
      </c>
      <c r="E3" t="s">
        <v>8</v>
      </c>
      <c r="F3" t="s">
        <v>113</v>
      </c>
      <c r="G3">
        <v>6</v>
      </c>
      <c r="H3">
        <v>48</v>
      </c>
      <c r="I3">
        <v>0</v>
      </c>
      <c r="J3">
        <v>8</v>
      </c>
      <c r="K3" t="s">
        <v>109</v>
      </c>
      <c r="L3" s="18">
        <v>0.6875</v>
      </c>
      <c r="M3" t="s">
        <v>114</v>
      </c>
      <c r="N3" s="18">
        <v>0.64583333333333337</v>
      </c>
      <c r="O3" t="s">
        <v>11</v>
      </c>
      <c r="P3" t="s">
        <v>16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20</v>
      </c>
      <c r="AC3">
        <v>19</v>
      </c>
    </row>
    <row r="4" spans="1:29" x14ac:dyDescent="0.25">
      <c r="A4">
        <v>129596782</v>
      </c>
      <c r="B4">
        <v>2029484416</v>
      </c>
      <c r="C4">
        <v>220</v>
      </c>
      <c r="E4" t="s">
        <v>8</v>
      </c>
      <c r="F4" t="s">
        <v>115</v>
      </c>
      <c r="G4">
        <v>1</v>
      </c>
      <c r="H4">
        <v>0.2</v>
      </c>
      <c r="I4">
        <v>0</v>
      </c>
      <c r="J4">
        <v>0.2</v>
      </c>
      <c r="K4" t="s">
        <v>72</v>
      </c>
      <c r="L4" s="18">
        <v>0.36686342592592591</v>
      </c>
      <c r="M4" t="s">
        <v>72</v>
      </c>
      <c r="N4" s="18">
        <v>0.37519675925925927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19</v>
      </c>
    </row>
    <row r="5" spans="1:29" x14ac:dyDescent="0.25">
      <c r="A5">
        <v>131610031</v>
      </c>
      <c r="B5">
        <v>2029780007</v>
      </c>
      <c r="C5">
        <v>2445</v>
      </c>
      <c r="E5" t="s">
        <v>8</v>
      </c>
      <c r="F5" t="s">
        <v>21</v>
      </c>
      <c r="G5">
        <v>1</v>
      </c>
      <c r="H5">
        <v>22</v>
      </c>
      <c r="I5">
        <v>0</v>
      </c>
      <c r="J5">
        <v>22</v>
      </c>
      <c r="K5" t="s">
        <v>72</v>
      </c>
      <c r="L5" s="18">
        <v>0.3125</v>
      </c>
      <c r="M5" t="s">
        <v>116</v>
      </c>
      <c r="N5" s="18">
        <v>0.33358796296296295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B5" t="s">
        <v>20</v>
      </c>
      <c r="AC5">
        <v>19</v>
      </c>
    </row>
    <row r="6" spans="1:29" x14ac:dyDescent="0.25">
      <c r="A6">
        <v>133466708</v>
      </c>
      <c r="B6">
        <v>2029900061</v>
      </c>
      <c r="C6">
        <v>740</v>
      </c>
      <c r="D6">
        <v>10</v>
      </c>
      <c r="E6" t="s">
        <v>8</v>
      </c>
      <c r="F6" t="s">
        <v>48</v>
      </c>
      <c r="G6">
        <v>4</v>
      </c>
      <c r="H6">
        <v>88</v>
      </c>
      <c r="I6">
        <v>0</v>
      </c>
      <c r="J6">
        <v>22</v>
      </c>
      <c r="K6" t="s">
        <v>72</v>
      </c>
      <c r="L6" s="18">
        <v>0.25</v>
      </c>
      <c r="M6" t="s">
        <v>109</v>
      </c>
      <c r="N6" s="18">
        <v>0.16666666666666666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C6">
        <v>19</v>
      </c>
    </row>
    <row r="7" spans="1:29" x14ac:dyDescent="0.25">
      <c r="A7">
        <v>133466709</v>
      </c>
      <c r="B7">
        <v>2029900061</v>
      </c>
      <c r="C7">
        <v>740</v>
      </c>
      <c r="D7">
        <v>20</v>
      </c>
      <c r="E7" t="s">
        <v>8</v>
      </c>
      <c r="F7" t="s">
        <v>49</v>
      </c>
      <c r="G7">
        <v>1</v>
      </c>
      <c r="H7">
        <v>22</v>
      </c>
      <c r="I7">
        <v>0</v>
      </c>
      <c r="J7">
        <v>22</v>
      </c>
      <c r="K7" t="s">
        <v>72</v>
      </c>
      <c r="L7" s="18">
        <v>0.25</v>
      </c>
      <c r="M7" t="s">
        <v>109</v>
      </c>
      <c r="N7" s="18">
        <v>0.16666666666666666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C7">
        <v>19</v>
      </c>
    </row>
    <row r="8" spans="1:29" x14ac:dyDescent="0.25">
      <c r="A8">
        <v>134037235</v>
      </c>
      <c r="B8">
        <v>2030341896</v>
      </c>
      <c r="C8">
        <v>320</v>
      </c>
      <c r="E8" t="s">
        <v>8</v>
      </c>
      <c r="F8" t="s">
        <v>50</v>
      </c>
      <c r="G8">
        <v>2</v>
      </c>
      <c r="H8">
        <v>8</v>
      </c>
      <c r="I8">
        <v>0</v>
      </c>
      <c r="J8">
        <v>4</v>
      </c>
      <c r="K8" t="s">
        <v>72</v>
      </c>
      <c r="L8" s="18">
        <v>0.41290509259259262</v>
      </c>
      <c r="M8" t="s">
        <v>72</v>
      </c>
      <c r="N8" s="18">
        <v>0.65537037037037038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B8" t="s">
        <v>20</v>
      </c>
      <c r="AC8">
        <v>19</v>
      </c>
    </row>
    <row r="9" spans="1:29" x14ac:dyDescent="0.25">
      <c r="A9">
        <v>134195306</v>
      </c>
      <c r="B9">
        <v>2030707957</v>
      </c>
      <c r="C9">
        <v>230</v>
      </c>
      <c r="E9" t="s">
        <v>8</v>
      </c>
      <c r="F9" t="s">
        <v>117</v>
      </c>
      <c r="G9">
        <v>2</v>
      </c>
      <c r="H9">
        <v>4</v>
      </c>
      <c r="I9">
        <v>0</v>
      </c>
      <c r="J9">
        <v>2</v>
      </c>
      <c r="K9" t="s">
        <v>72</v>
      </c>
      <c r="L9" s="18">
        <v>0.3125</v>
      </c>
      <c r="M9" t="s">
        <v>72</v>
      </c>
      <c r="N9" s="18">
        <v>0.41290509259259262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C9">
        <v>19</v>
      </c>
    </row>
    <row r="10" spans="1:29" x14ac:dyDescent="0.25">
      <c r="A10">
        <v>129384870</v>
      </c>
      <c r="B10">
        <v>2030766269</v>
      </c>
      <c r="C10">
        <v>20</v>
      </c>
      <c r="E10" t="s">
        <v>8</v>
      </c>
      <c r="F10" t="s">
        <v>22</v>
      </c>
      <c r="G10">
        <v>2</v>
      </c>
      <c r="H10">
        <v>8</v>
      </c>
      <c r="I10">
        <v>0</v>
      </c>
      <c r="J10">
        <v>4</v>
      </c>
      <c r="K10" t="s">
        <v>72</v>
      </c>
      <c r="L10" s="18">
        <v>0.6875</v>
      </c>
      <c r="M10" t="s">
        <v>109</v>
      </c>
      <c r="N10" s="18">
        <v>0.4375</v>
      </c>
      <c r="O10" t="s">
        <v>11</v>
      </c>
      <c r="P10" t="s">
        <v>14</v>
      </c>
      <c r="Q10" t="s">
        <v>13</v>
      </c>
      <c r="T10" s="18">
        <v>0</v>
      </c>
      <c r="W10" s="19">
        <v>1</v>
      </c>
      <c r="Y10">
        <v>0</v>
      </c>
      <c r="Z10">
        <v>0</v>
      </c>
      <c r="AC10">
        <v>19</v>
      </c>
    </row>
    <row r="11" spans="1:29" x14ac:dyDescent="0.25">
      <c r="A11">
        <v>131922794</v>
      </c>
      <c r="B11">
        <v>2031080650</v>
      </c>
      <c r="C11">
        <v>20</v>
      </c>
      <c r="E11" t="s">
        <v>8</v>
      </c>
      <c r="F11" t="s">
        <v>22</v>
      </c>
      <c r="G11">
        <v>2</v>
      </c>
      <c r="H11">
        <v>8</v>
      </c>
      <c r="I11">
        <v>0</v>
      </c>
      <c r="J11">
        <v>4</v>
      </c>
      <c r="K11" t="s">
        <v>72</v>
      </c>
      <c r="L11" s="18">
        <v>0.60416666666666663</v>
      </c>
      <c r="M11" t="s">
        <v>109</v>
      </c>
      <c r="N11" s="18">
        <v>0.35416666666666669</v>
      </c>
      <c r="O11" t="s">
        <v>41</v>
      </c>
      <c r="P11" t="s">
        <v>16</v>
      </c>
      <c r="Q11" t="s">
        <v>13</v>
      </c>
      <c r="T11" s="18">
        <v>0</v>
      </c>
      <c r="W11" s="19">
        <v>1</v>
      </c>
      <c r="Y11">
        <v>0</v>
      </c>
      <c r="Z11">
        <v>0</v>
      </c>
      <c r="AC11">
        <v>19</v>
      </c>
    </row>
    <row r="12" spans="1:29" x14ac:dyDescent="0.25">
      <c r="A12">
        <v>134040322</v>
      </c>
      <c r="B12">
        <v>2031111330</v>
      </c>
      <c r="C12">
        <v>260</v>
      </c>
      <c r="D12">
        <v>30</v>
      </c>
      <c r="E12" t="s">
        <v>8</v>
      </c>
      <c r="F12" t="s">
        <v>52</v>
      </c>
      <c r="G12">
        <v>2</v>
      </c>
      <c r="H12">
        <v>2</v>
      </c>
      <c r="I12">
        <v>0</v>
      </c>
      <c r="J12">
        <v>1</v>
      </c>
      <c r="K12" t="s">
        <v>72</v>
      </c>
      <c r="L12" s="18">
        <v>0.65537037037037038</v>
      </c>
      <c r="M12" t="s">
        <v>72</v>
      </c>
      <c r="N12" s="18">
        <v>0.70556712962962964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20</v>
      </c>
      <c r="AC12">
        <v>19</v>
      </c>
    </row>
    <row r="13" spans="1:29" x14ac:dyDescent="0.25">
      <c r="A13">
        <v>134040318</v>
      </c>
      <c r="B13">
        <v>2031111330</v>
      </c>
      <c r="C13">
        <v>250</v>
      </c>
      <c r="E13" t="s">
        <v>8</v>
      </c>
      <c r="F13" t="s">
        <v>53</v>
      </c>
      <c r="G13">
        <v>3</v>
      </c>
      <c r="H13">
        <v>18</v>
      </c>
      <c r="I13">
        <v>0</v>
      </c>
      <c r="J13">
        <v>6</v>
      </c>
      <c r="K13" t="s">
        <v>72</v>
      </c>
      <c r="L13" s="18">
        <v>0.3125</v>
      </c>
      <c r="M13" t="s">
        <v>72</v>
      </c>
      <c r="N13" s="18">
        <v>0.65537037037037038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20</v>
      </c>
      <c r="AC13">
        <v>19</v>
      </c>
    </row>
    <row r="14" spans="1:29" x14ac:dyDescent="0.25">
      <c r="A14">
        <v>132685274</v>
      </c>
      <c r="B14">
        <v>2031202858</v>
      </c>
      <c r="C14">
        <v>60</v>
      </c>
      <c r="E14" t="s">
        <v>8</v>
      </c>
      <c r="F14" t="s">
        <v>118</v>
      </c>
      <c r="G14">
        <v>2</v>
      </c>
      <c r="H14">
        <v>8</v>
      </c>
      <c r="I14">
        <v>0</v>
      </c>
      <c r="J14">
        <v>4</v>
      </c>
      <c r="K14" t="s">
        <v>72</v>
      </c>
      <c r="L14" s="18">
        <v>0.3125</v>
      </c>
      <c r="M14" t="s">
        <v>72</v>
      </c>
      <c r="N14" s="18">
        <v>0.55496527777777782</v>
      </c>
      <c r="O14" t="s">
        <v>17</v>
      </c>
      <c r="P14" t="s">
        <v>14</v>
      </c>
      <c r="Q14" t="s">
        <v>13</v>
      </c>
      <c r="T14" s="18">
        <v>0</v>
      </c>
      <c r="W14" s="19">
        <v>1</v>
      </c>
      <c r="Y14">
        <v>0</v>
      </c>
      <c r="Z14">
        <v>0</v>
      </c>
      <c r="AA14">
        <v>1</v>
      </c>
      <c r="AB14" t="s">
        <v>20</v>
      </c>
      <c r="AC14">
        <v>19</v>
      </c>
    </row>
    <row r="15" spans="1:29" x14ac:dyDescent="0.25">
      <c r="A15">
        <v>132685275</v>
      </c>
      <c r="B15">
        <v>2031202858</v>
      </c>
      <c r="C15">
        <v>70</v>
      </c>
      <c r="E15" t="s">
        <v>8</v>
      </c>
      <c r="F15" t="s">
        <v>119</v>
      </c>
      <c r="G15">
        <v>2</v>
      </c>
      <c r="H15">
        <v>8</v>
      </c>
      <c r="I15">
        <v>0</v>
      </c>
      <c r="J15">
        <v>4</v>
      </c>
      <c r="K15" t="s">
        <v>72</v>
      </c>
      <c r="L15" s="18">
        <v>0.55496527777777782</v>
      </c>
      <c r="M15" t="s">
        <v>109</v>
      </c>
      <c r="N15" s="18">
        <v>0.33909722222222222</v>
      </c>
      <c r="O15" t="s">
        <v>11</v>
      </c>
      <c r="P15" t="s">
        <v>14</v>
      </c>
      <c r="Q15" t="s">
        <v>13</v>
      </c>
      <c r="T15" s="18">
        <v>0</v>
      </c>
      <c r="W15" s="19">
        <v>1</v>
      </c>
      <c r="Y15">
        <v>0</v>
      </c>
      <c r="Z15">
        <v>0</v>
      </c>
      <c r="AA15">
        <v>1</v>
      </c>
      <c r="AB15" t="s">
        <v>20</v>
      </c>
      <c r="AC15">
        <v>19</v>
      </c>
    </row>
    <row r="16" spans="1:29" x14ac:dyDescent="0.25">
      <c r="A16">
        <v>132685302</v>
      </c>
      <c r="B16">
        <v>2031202858</v>
      </c>
      <c r="C16">
        <v>85</v>
      </c>
      <c r="E16" t="s">
        <v>8</v>
      </c>
      <c r="F16" t="s">
        <v>120</v>
      </c>
      <c r="G16">
        <v>2</v>
      </c>
      <c r="H16">
        <v>10</v>
      </c>
      <c r="I16">
        <v>0</v>
      </c>
      <c r="J16">
        <v>5</v>
      </c>
      <c r="K16" t="s">
        <v>109</v>
      </c>
      <c r="L16" s="18">
        <v>0.41439814814814813</v>
      </c>
      <c r="M16" t="s">
        <v>109</v>
      </c>
      <c r="N16" s="18">
        <v>0.70707175925925925</v>
      </c>
      <c r="O16" t="s">
        <v>11</v>
      </c>
      <c r="P16" t="s">
        <v>14</v>
      </c>
      <c r="Q16" t="s">
        <v>13</v>
      </c>
      <c r="T16" s="18">
        <v>0</v>
      </c>
      <c r="W16" s="19">
        <v>1</v>
      </c>
      <c r="Y16">
        <v>0</v>
      </c>
      <c r="Z16">
        <v>0</v>
      </c>
      <c r="AA16">
        <v>1</v>
      </c>
      <c r="AB16" t="s">
        <v>20</v>
      </c>
      <c r="AC16">
        <v>19</v>
      </c>
    </row>
    <row r="17" spans="1:29" x14ac:dyDescent="0.25">
      <c r="A17">
        <v>132685277</v>
      </c>
      <c r="B17">
        <v>2031202858</v>
      </c>
      <c r="C17">
        <v>90</v>
      </c>
      <c r="E17" t="s">
        <v>8</v>
      </c>
      <c r="F17" t="s">
        <v>121</v>
      </c>
      <c r="G17">
        <v>2</v>
      </c>
      <c r="H17">
        <v>16</v>
      </c>
      <c r="I17">
        <v>0</v>
      </c>
      <c r="J17">
        <v>8</v>
      </c>
      <c r="K17" t="s">
        <v>109</v>
      </c>
      <c r="L17" s="18">
        <v>0.70707175925925925</v>
      </c>
      <c r="M17" t="s">
        <v>116</v>
      </c>
      <c r="N17" s="18">
        <v>0.35868055555555556</v>
      </c>
      <c r="O17" t="s">
        <v>11</v>
      </c>
      <c r="P17" t="s">
        <v>14</v>
      </c>
      <c r="Q17" t="s">
        <v>13</v>
      </c>
      <c r="T17" s="18">
        <v>0</v>
      </c>
      <c r="W17" s="19">
        <v>1</v>
      </c>
      <c r="Y17">
        <v>0</v>
      </c>
      <c r="Z17">
        <v>0</v>
      </c>
      <c r="AA17">
        <v>1</v>
      </c>
      <c r="AB17" t="s">
        <v>20</v>
      </c>
      <c r="AC17">
        <v>19</v>
      </c>
    </row>
    <row r="18" spans="1:29" x14ac:dyDescent="0.25">
      <c r="A18">
        <v>133083750</v>
      </c>
      <c r="B18">
        <v>2031260876</v>
      </c>
      <c r="C18">
        <v>50</v>
      </c>
      <c r="E18" t="s">
        <v>8</v>
      </c>
      <c r="F18" t="s">
        <v>122</v>
      </c>
      <c r="G18">
        <v>2</v>
      </c>
      <c r="H18">
        <v>16</v>
      </c>
      <c r="I18">
        <v>0</v>
      </c>
      <c r="J18">
        <v>8</v>
      </c>
      <c r="K18" t="s">
        <v>72</v>
      </c>
      <c r="L18" s="18">
        <v>0.3125</v>
      </c>
      <c r="M18" t="s">
        <v>109</v>
      </c>
      <c r="N18" s="18">
        <v>0.33910879629629631</v>
      </c>
      <c r="O18" t="s">
        <v>23</v>
      </c>
      <c r="P18" t="s">
        <v>14</v>
      </c>
      <c r="Q18" t="s">
        <v>13</v>
      </c>
      <c r="T18" s="18">
        <v>0</v>
      </c>
      <c r="W18" s="19">
        <v>1</v>
      </c>
      <c r="X18" t="s">
        <v>24</v>
      </c>
      <c r="Y18">
        <v>0</v>
      </c>
      <c r="Z18">
        <v>0</v>
      </c>
      <c r="AC18">
        <v>19</v>
      </c>
    </row>
    <row r="19" spans="1:29" x14ac:dyDescent="0.25">
      <c r="A19">
        <v>133083757</v>
      </c>
      <c r="B19">
        <v>2031260876</v>
      </c>
      <c r="C19">
        <v>60</v>
      </c>
      <c r="E19" t="s">
        <v>8</v>
      </c>
      <c r="F19" t="s">
        <v>123</v>
      </c>
      <c r="G19">
        <v>2</v>
      </c>
      <c r="H19">
        <v>56</v>
      </c>
      <c r="I19">
        <v>0</v>
      </c>
      <c r="J19">
        <v>28</v>
      </c>
      <c r="K19" t="s">
        <v>109</v>
      </c>
      <c r="L19" s="18">
        <v>0.33910879629629631</v>
      </c>
      <c r="M19" t="s">
        <v>124</v>
      </c>
      <c r="N19" s="18">
        <v>0.70306712962962958</v>
      </c>
      <c r="O19" t="s">
        <v>23</v>
      </c>
      <c r="P19" t="s">
        <v>14</v>
      </c>
      <c r="Q19" t="s">
        <v>13</v>
      </c>
      <c r="T19" s="18">
        <v>0</v>
      </c>
      <c r="W19" s="19">
        <v>1</v>
      </c>
      <c r="Y19">
        <v>0</v>
      </c>
      <c r="Z19">
        <v>0</v>
      </c>
      <c r="AC19">
        <v>19</v>
      </c>
    </row>
    <row r="20" spans="1:29" x14ac:dyDescent="0.25">
      <c r="A20">
        <v>133425157</v>
      </c>
      <c r="B20">
        <v>2031265635</v>
      </c>
      <c r="C20">
        <v>110</v>
      </c>
      <c r="D20">
        <v>10</v>
      </c>
      <c r="E20" t="s">
        <v>8</v>
      </c>
      <c r="F20" t="s">
        <v>54</v>
      </c>
      <c r="G20">
        <v>1</v>
      </c>
      <c r="H20">
        <v>6</v>
      </c>
      <c r="I20">
        <v>0</v>
      </c>
      <c r="J20">
        <v>6</v>
      </c>
      <c r="K20" t="s">
        <v>72</v>
      </c>
      <c r="L20" s="18">
        <v>0.25</v>
      </c>
      <c r="M20" t="s">
        <v>72</v>
      </c>
      <c r="N20" s="18">
        <v>0.5</v>
      </c>
      <c r="O20" t="s">
        <v>11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B20" t="s">
        <v>20</v>
      </c>
      <c r="AC20">
        <v>19</v>
      </c>
    </row>
    <row r="21" spans="1:29" x14ac:dyDescent="0.25">
      <c r="A21">
        <v>133425159</v>
      </c>
      <c r="B21">
        <v>2031265635</v>
      </c>
      <c r="C21">
        <v>120</v>
      </c>
      <c r="D21">
        <v>10</v>
      </c>
      <c r="E21" t="s">
        <v>8</v>
      </c>
      <c r="F21" t="s">
        <v>55</v>
      </c>
      <c r="G21">
        <v>1</v>
      </c>
      <c r="H21">
        <v>6</v>
      </c>
      <c r="I21">
        <v>0</v>
      </c>
      <c r="J21">
        <v>6</v>
      </c>
      <c r="K21" t="s">
        <v>72</v>
      </c>
      <c r="L21" s="18">
        <v>0.25</v>
      </c>
      <c r="M21" t="s">
        <v>72</v>
      </c>
      <c r="N21" s="18">
        <v>0.5</v>
      </c>
      <c r="O21" t="s">
        <v>11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B21" t="s">
        <v>20</v>
      </c>
      <c r="AC21">
        <v>19</v>
      </c>
    </row>
    <row r="22" spans="1:29" x14ac:dyDescent="0.25">
      <c r="A22">
        <v>133425151</v>
      </c>
      <c r="B22">
        <v>2031265635</v>
      </c>
      <c r="C22">
        <v>60</v>
      </c>
      <c r="E22" t="s">
        <v>8</v>
      </c>
      <c r="F22" t="s">
        <v>56</v>
      </c>
      <c r="G22">
        <v>2</v>
      </c>
      <c r="H22">
        <v>8</v>
      </c>
      <c r="I22">
        <v>0</v>
      </c>
      <c r="J22">
        <v>4</v>
      </c>
      <c r="K22" t="s">
        <v>72</v>
      </c>
      <c r="L22" s="18">
        <v>0.16666666666666666</v>
      </c>
      <c r="M22" t="s">
        <v>72</v>
      </c>
      <c r="N22" s="18">
        <v>0.33333333333333331</v>
      </c>
      <c r="O22" t="s">
        <v>11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B22" t="s">
        <v>20</v>
      </c>
      <c r="AC22">
        <v>19</v>
      </c>
    </row>
    <row r="23" spans="1:29" x14ac:dyDescent="0.25">
      <c r="A23">
        <v>133425152</v>
      </c>
      <c r="B23">
        <v>2031265635</v>
      </c>
      <c r="C23">
        <v>70</v>
      </c>
      <c r="E23" t="s">
        <v>8</v>
      </c>
      <c r="F23" t="s">
        <v>57</v>
      </c>
      <c r="G23">
        <v>2</v>
      </c>
      <c r="H23">
        <v>24</v>
      </c>
      <c r="I23">
        <v>0</v>
      </c>
      <c r="J23">
        <v>12</v>
      </c>
      <c r="K23" t="s">
        <v>72</v>
      </c>
      <c r="L23" s="18">
        <v>0.16666666666666666</v>
      </c>
      <c r="M23" t="s">
        <v>72</v>
      </c>
      <c r="N23" s="18">
        <v>0.66666666666666663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B23" t="s">
        <v>20</v>
      </c>
      <c r="AC23">
        <v>19</v>
      </c>
    </row>
    <row r="24" spans="1:29" x14ac:dyDescent="0.25">
      <c r="A24">
        <v>133425155</v>
      </c>
      <c r="B24">
        <v>2031265635</v>
      </c>
      <c r="C24">
        <v>100</v>
      </c>
      <c r="E24" t="s">
        <v>8</v>
      </c>
      <c r="F24" t="s">
        <v>58</v>
      </c>
      <c r="G24">
        <v>2</v>
      </c>
      <c r="H24">
        <v>8</v>
      </c>
      <c r="I24">
        <v>0</v>
      </c>
      <c r="J24">
        <v>4</v>
      </c>
      <c r="K24" t="s">
        <v>72</v>
      </c>
      <c r="L24" s="18">
        <v>0.25</v>
      </c>
      <c r="M24" t="s">
        <v>72</v>
      </c>
      <c r="N24" s="18">
        <v>0.41666666666666669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B24" t="s">
        <v>20</v>
      </c>
      <c r="AC24">
        <v>19</v>
      </c>
    </row>
    <row r="25" spans="1:29" x14ac:dyDescent="0.25">
      <c r="A25">
        <v>133425156</v>
      </c>
      <c r="B25">
        <v>2031265635</v>
      </c>
      <c r="C25">
        <v>110</v>
      </c>
      <c r="E25" t="s">
        <v>8</v>
      </c>
      <c r="F25" t="s">
        <v>59</v>
      </c>
      <c r="G25">
        <v>2</v>
      </c>
      <c r="H25">
        <v>12</v>
      </c>
      <c r="I25">
        <v>0</v>
      </c>
      <c r="J25">
        <v>6</v>
      </c>
      <c r="K25" t="s">
        <v>72</v>
      </c>
      <c r="L25" s="18">
        <v>0.25</v>
      </c>
      <c r="M25" t="s">
        <v>72</v>
      </c>
      <c r="N25" s="18">
        <v>0.5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B25" t="s">
        <v>20</v>
      </c>
      <c r="AC25">
        <v>19</v>
      </c>
    </row>
    <row r="26" spans="1:29" x14ac:dyDescent="0.25">
      <c r="A26">
        <v>133678592</v>
      </c>
      <c r="B26">
        <v>2031362129</v>
      </c>
      <c r="C26">
        <v>186</v>
      </c>
      <c r="E26" t="s">
        <v>8</v>
      </c>
      <c r="F26" t="s">
        <v>60</v>
      </c>
      <c r="G26">
        <v>2</v>
      </c>
      <c r="H26">
        <v>6</v>
      </c>
      <c r="I26">
        <v>0</v>
      </c>
      <c r="J26">
        <v>3</v>
      </c>
      <c r="K26" t="s">
        <v>72</v>
      </c>
      <c r="L26" s="18">
        <v>0.41290509259259262</v>
      </c>
      <c r="M26" t="s">
        <v>72</v>
      </c>
      <c r="N26" s="18">
        <v>0.60517361111111112</v>
      </c>
      <c r="O26" t="s">
        <v>23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B26" t="s">
        <v>20</v>
      </c>
      <c r="AC26">
        <v>19</v>
      </c>
    </row>
    <row r="27" spans="1:29" x14ac:dyDescent="0.25">
      <c r="A27">
        <v>133827587</v>
      </c>
      <c r="B27">
        <v>2031382919</v>
      </c>
      <c r="C27">
        <v>20</v>
      </c>
      <c r="E27" t="s">
        <v>8</v>
      </c>
      <c r="F27" t="s">
        <v>125</v>
      </c>
      <c r="G27">
        <v>2</v>
      </c>
      <c r="H27">
        <v>8</v>
      </c>
      <c r="I27">
        <v>0</v>
      </c>
      <c r="J27">
        <v>4</v>
      </c>
      <c r="K27" t="s">
        <v>109</v>
      </c>
      <c r="L27" s="18">
        <v>0.6875</v>
      </c>
      <c r="M27" t="s">
        <v>114</v>
      </c>
      <c r="N27" s="18">
        <v>0.4375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20</v>
      </c>
      <c r="AC27">
        <v>19</v>
      </c>
    </row>
    <row r="28" spans="1:29" x14ac:dyDescent="0.25">
      <c r="L28" s="18"/>
      <c r="N28" s="18"/>
      <c r="T28" s="18"/>
      <c r="W28" s="19"/>
    </row>
    <row r="29" spans="1:29" x14ac:dyDescent="0.25">
      <c r="L29" s="18"/>
      <c r="N29" s="18"/>
      <c r="T29" s="18"/>
      <c r="W29" s="19"/>
    </row>
    <row r="30" spans="1:29" x14ac:dyDescent="0.25">
      <c r="L30" s="18"/>
      <c r="N30" s="18"/>
      <c r="T30" s="18"/>
      <c r="W30" s="19"/>
    </row>
    <row r="31" spans="1:29" x14ac:dyDescent="0.25">
      <c r="L31" s="18"/>
      <c r="N31" s="18"/>
      <c r="T31" s="18"/>
      <c r="W31" s="18"/>
    </row>
    <row r="32" spans="1:29" x14ac:dyDescent="0.25">
      <c r="L32" s="18"/>
      <c r="N32" s="18"/>
      <c r="T32" s="18"/>
      <c r="W32" s="18"/>
    </row>
    <row r="33" spans="12:23" x14ac:dyDescent="0.25">
      <c r="L33" s="18"/>
      <c r="N33" s="18"/>
      <c r="T33" s="18"/>
      <c r="W33" s="18"/>
    </row>
    <row r="34" spans="12:23" x14ac:dyDescent="0.25">
      <c r="L34" s="18"/>
      <c r="N34" s="18"/>
      <c r="T34" s="18"/>
      <c r="W34" s="18"/>
    </row>
    <row r="35" spans="12:23" x14ac:dyDescent="0.25">
      <c r="L35" s="18"/>
      <c r="N35" s="18"/>
      <c r="T35" s="18"/>
      <c r="W35" s="18"/>
    </row>
    <row r="36" spans="12:23" x14ac:dyDescent="0.25">
      <c r="L36" s="18"/>
      <c r="N36" s="18"/>
      <c r="T36" s="18"/>
      <c r="W36" s="18"/>
    </row>
    <row r="37" spans="12:23" x14ac:dyDescent="0.25">
      <c r="L37" s="18"/>
      <c r="N37" s="18"/>
      <c r="T37" s="18"/>
      <c r="W37" s="18"/>
    </row>
    <row r="38" spans="12:23" x14ac:dyDescent="0.25">
      <c r="L38" s="18"/>
      <c r="N38" s="18"/>
      <c r="T38" s="18"/>
      <c r="W38" s="18"/>
    </row>
    <row r="39" spans="12:23" x14ac:dyDescent="0.25">
      <c r="L39" s="18"/>
      <c r="N39" s="18"/>
      <c r="T39" s="18"/>
      <c r="W39" s="18"/>
    </row>
    <row r="40" spans="12:23" x14ac:dyDescent="0.25">
      <c r="L40" s="18"/>
      <c r="N40" s="18"/>
      <c r="T40" s="18"/>
      <c r="W40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workbookViewId="0">
      <selection activeCell="C10" sqref="C10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4257812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204.2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120817322</v>
      </c>
      <c r="B3">
        <v>2027174131</v>
      </c>
      <c r="C3">
        <v>110</v>
      </c>
      <c r="E3" t="s">
        <v>9</v>
      </c>
      <c r="F3" t="s">
        <v>137</v>
      </c>
      <c r="G3">
        <v>1</v>
      </c>
      <c r="H3">
        <v>0.2</v>
      </c>
      <c r="I3">
        <v>0</v>
      </c>
      <c r="J3">
        <v>0.2</v>
      </c>
      <c r="K3" t="s">
        <v>109</v>
      </c>
      <c r="L3" s="18">
        <v>0.39583333333333331</v>
      </c>
      <c r="M3" t="s">
        <v>109</v>
      </c>
      <c r="N3" s="18">
        <v>0.40416666666666667</v>
      </c>
      <c r="O3" t="s">
        <v>11</v>
      </c>
      <c r="P3" t="s">
        <v>16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20</v>
      </c>
      <c r="AC3">
        <v>19</v>
      </c>
    </row>
    <row r="4" spans="1:29" x14ac:dyDescent="0.25">
      <c r="A4">
        <v>120722261</v>
      </c>
      <c r="B4">
        <v>2029353148</v>
      </c>
      <c r="C4">
        <v>20</v>
      </c>
      <c r="E4" t="s">
        <v>9</v>
      </c>
      <c r="F4" t="s">
        <v>138</v>
      </c>
      <c r="G4">
        <v>2</v>
      </c>
      <c r="H4">
        <v>6</v>
      </c>
      <c r="I4">
        <v>0</v>
      </c>
      <c r="J4">
        <v>3</v>
      </c>
      <c r="K4" t="s">
        <v>72</v>
      </c>
      <c r="L4" s="18">
        <v>0.3125</v>
      </c>
      <c r="M4" t="s">
        <v>72</v>
      </c>
      <c r="N4" s="18">
        <v>0.46310185185185188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19</v>
      </c>
    </row>
    <row r="5" spans="1:29" x14ac:dyDescent="0.25">
      <c r="A5">
        <v>120722264</v>
      </c>
      <c r="B5">
        <v>2029353148</v>
      </c>
      <c r="C5">
        <v>50</v>
      </c>
      <c r="E5" t="s">
        <v>9</v>
      </c>
      <c r="F5" t="s">
        <v>139</v>
      </c>
      <c r="G5">
        <v>2</v>
      </c>
      <c r="H5">
        <v>12</v>
      </c>
      <c r="I5">
        <v>0</v>
      </c>
      <c r="J5">
        <v>6</v>
      </c>
      <c r="K5" t="s">
        <v>72</v>
      </c>
      <c r="L5" s="18">
        <v>0.70556712962962964</v>
      </c>
      <c r="M5" t="s">
        <v>109</v>
      </c>
      <c r="N5" s="18">
        <v>0.63177083333333328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19</v>
      </c>
    </row>
    <row r="6" spans="1:29" x14ac:dyDescent="0.25">
      <c r="A6">
        <v>120724681</v>
      </c>
      <c r="B6">
        <v>2029353148</v>
      </c>
      <c r="C6">
        <v>80</v>
      </c>
      <c r="E6" t="s">
        <v>9</v>
      </c>
      <c r="F6" t="s">
        <v>140</v>
      </c>
      <c r="G6">
        <v>2</v>
      </c>
      <c r="H6">
        <v>4</v>
      </c>
      <c r="I6">
        <v>0</v>
      </c>
      <c r="J6">
        <v>2</v>
      </c>
      <c r="K6" t="s">
        <v>114</v>
      </c>
      <c r="L6" s="18">
        <v>0.46611111111111109</v>
      </c>
      <c r="M6" t="s">
        <v>114</v>
      </c>
      <c r="N6" s="18">
        <v>0.60818287037037033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19</v>
      </c>
    </row>
    <row r="7" spans="1:29" x14ac:dyDescent="0.25">
      <c r="A7">
        <v>120724682</v>
      </c>
      <c r="B7">
        <v>2029353148</v>
      </c>
      <c r="C7">
        <v>90</v>
      </c>
      <c r="E7" t="s">
        <v>9</v>
      </c>
      <c r="F7" t="s">
        <v>141</v>
      </c>
      <c r="G7">
        <v>2</v>
      </c>
      <c r="H7">
        <v>4</v>
      </c>
      <c r="I7">
        <v>0</v>
      </c>
      <c r="J7">
        <v>2</v>
      </c>
      <c r="K7" t="s">
        <v>114</v>
      </c>
      <c r="L7" s="18">
        <v>0.60818287037037033</v>
      </c>
      <c r="M7" t="s">
        <v>116</v>
      </c>
      <c r="N7" s="18">
        <v>0.33358796296296295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19</v>
      </c>
    </row>
    <row r="8" spans="1:29" x14ac:dyDescent="0.25">
      <c r="A8">
        <v>121734364</v>
      </c>
      <c r="B8">
        <v>2029484416</v>
      </c>
      <c r="C8">
        <v>30</v>
      </c>
      <c r="E8" t="s">
        <v>9</v>
      </c>
      <c r="F8" t="s">
        <v>61</v>
      </c>
      <c r="G8">
        <v>2</v>
      </c>
      <c r="H8">
        <v>8</v>
      </c>
      <c r="I8">
        <v>0</v>
      </c>
      <c r="J8">
        <v>4</v>
      </c>
      <c r="K8" t="s">
        <v>114</v>
      </c>
      <c r="L8" s="18">
        <v>0.4375</v>
      </c>
      <c r="M8" t="s">
        <v>114</v>
      </c>
      <c r="N8" s="18">
        <v>0.64583333333333337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19</v>
      </c>
    </row>
    <row r="9" spans="1:29" x14ac:dyDescent="0.25">
      <c r="A9">
        <v>121734366</v>
      </c>
      <c r="B9">
        <v>2029484416</v>
      </c>
      <c r="C9">
        <v>45</v>
      </c>
      <c r="E9" t="s">
        <v>9</v>
      </c>
      <c r="F9" t="s">
        <v>62</v>
      </c>
      <c r="G9">
        <v>2</v>
      </c>
      <c r="H9">
        <v>4</v>
      </c>
      <c r="I9">
        <v>0</v>
      </c>
      <c r="J9">
        <v>2</v>
      </c>
      <c r="K9" t="s">
        <v>114</v>
      </c>
      <c r="L9" s="18">
        <v>0.41249999999999998</v>
      </c>
      <c r="M9" t="s">
        <v>114</v>
      </c>
      <c r="N9" s="18">
        <v>0.49583333333333335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20</v>
      </c>
      <c r="AC9">
        <v>19</v>
      </c>
    </row>
    <row r="10" spans="1:29" x14ac:dyDescent="0.25">
      <c r="A10">
        <v>121734367</v>
      </c>
      <c r="B10">
        <v>2029484416</v>
      </c>
      <c r="C10">
        <v>60</v>
      </c>
      <c r="E10" t="s">
        <v>9</v>
      </c>
      <c r="F10" t="s">
        <v>63</v>
      </c>
      <c r="G10">
        <v>2</v>
      </c>
      <c r="H10">
        <v>6</v>
      </c>
      <c r="I10">
        <v>0</v>
      </c>
      <c r="J10">
        <v>3</v>
      </c>
      <c r="K10" t="s">
        <v>114</v>
      </c>
      <c r="L10" s="18">
        <v>0.36249999999999999</v>
      </c>
      <c r="M10" t="s">
        <v>114</v>
      </c>
      <c r="N10" s="18">
        <v>0.48749999999999999</v>
      </c>
      <c r="O10" t="s">
        <v>11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2</v>
      </c>
      <c r="AB10" t="s">
        <v>20</v>
      </c>
      <c r="AC10">
        <v>19</v>
      </c>
    </row>
    <row r="11" spans="1:29" x14ac:dyDescent="0.25">
      <c r="A11">
        <v>129596768</v>
      </c>
      <c r="B11">
        <v>2029484416</v>
      </c>
      <c r="C11">
        <v>100</v>
      </c>
      <c r="E11" t="s">
        <v>9</v>
      </c>
      <c r="F11" t="s">
        <v>64</v>
      </c>
      <c r="G11">
        <v>2</v>
      </c>
      <c r="H11">
        <v>4</v>
      </c>
      <c r="I11">
        <v>0</v>
      </c>
      <c r="J11">
        <v>2</v>
      </c>
      <c r="K11" t="s">
        <v>114</v>
      </c>
      <c r="L11" s="18">
        <v>0.35416666666666669</v>
      </c>
      <c r="M11" t="s">
        <v>114</v>
      </c>
      <c r="N11" s="18">
        <v>0.4375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2</v>
      </c>
      <c r="AB11" t="s">
        <v>20</v>
      </c>
      <c r="AC11">
        <v>19</v>
      </c>
    </row>
    <row r="12" spans="1:29" x14ac:dyDescent="0.25">
      <c r="A12">
        <v>129596777</v>
      </c>
      <c r="B12">
        <v>2029484416</v>
      </c>
      <c r="C12">
        <v>170</v>
      </c>
      <c r="E12" t="s">
        <v>9</v>
      </c>
      <c r="F12" t="s">
        <v>65</v>
      </c>
      <c r="G12">
        <v>2</v>
      </c>
      <c r="H12">
        <v>4</v>
      </c>
      <c r="I12">
        <v>0</v>
      </c>
      <c r="J12">
        <v>2</v>
      </c>
      <c r="K12" t="s">
        <v>114</v>
      </c>
      <c r="L12" s="18">
        <v>0.35416666666666669</v>
      </c>
      <c r="M12" t="s">
        <v>114</v>
      </c>
      <c r="N12" s="18">
        <v>0.4375</v>
      </c>
      <c r="O12" t="s">
        <v>11</v>
      </c>
      <c r="P12" t="s">
        <v>16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19</v>
      </c>
    </row>
    <row r="13" spans="1:29" x14ac:dyDescent="0.25">
      <c r="A13">
        <v>129596778</v>
      </c>
      <c r="B13">
        <v>2029484416</v>
      </c>
      <c r="C13">
        <v>180</v>
      </c>
      <c r="E13" t="s">
        <v>9</v>
      </c>
      <c r="F13" t="s">
        <v>66</v>
      </c>
      <c r="G13">
        <v>2</v>
      </c>
      <c r="H13">
        <v>8</v>
      </c>
      <c r="I13">
        <v>0</v>
      </c>
      <c r="J13">
        <v>4</v>
      </c>
      <c r="K13" t="s">
        <v>109</v>
      </c>
      <c r="L13" s="18">
        <v>0.61250000000000004</v>
      </c>
      <c r="M13" t="s">
        <v>114</v>
      </c>
      <c r="N13" s="18">
        <v>0.36249999999999999</v>
      </c>
      <c r="O13" t="s">
        <v>11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20</v>
      </c>
      <c r="AC13">
        <v>19</v>
      </c>
    </row>
    <row r="14" spans="1:29" x14ac:dyDescent="0.25">
      <c r="A14">
        <v>121735275</v>
      </c>
      <c r="B14">
        <v>2029508737</v>
      </c>
      <c r="C14">
        <v>30</v>
      </c>
      <c r="E14" t="s">
        <v>9</v>
      </c>
      <c r="F14" t="s">
        <v>142</v>
      </c>
      <c r="G14">
        <v>2</v>
      </c>
      <c r="H14">
        <v>2</v>
      </c>
      <c r="I14">
        <v>0</v>
      </c>
      <c r="J14">
        <v>1</v>
      </c>
      <c r="K14" t="s">
        <v>114</v>
      </c>
      <c r="L14" s="18">
        <v>0.49303240740740739</v>
      </c>
      <c r="M14" t="s">
        <v>114</v>
      </c>
      <c r="N14" s="18">
        <v>0.57636574074074076</v>
      </c>
      <c r="O14" t="s">
        <v>11</v>
      </c>
      <c r="P14" t="s">
        <v>14</v>
      </c>
      <c r="Q14" t="s">
        <v>13</v>
      </c>
      <c r="T14" s="18">
        <v>0</v>
      </c>
      <c r="W14" s="19">
        <v>0</v>
      </c>
      <c r="Y14">
        <v>0</v>
      </c>
      <c r="Z14">
        <v>0</v>
      </c>
      <c r="AA14">
        <v>2</v>
      </c>
      <c r="AB14" t="s">
        <v>20</v>
      </c>
      <c r="AC14">
        <v>19</v>
      </c>
    </row>
    <row r="15" spans="1:29" x14ac:dyDescent="0.25">
      <c r="A15">
        <v>125376491</v>
      </c>
      <c r="B15">
        <v>2029960395</v>
      </c>
      <c r="C15">
        <v>210</v>
      </c>
      <c r="E15" t="s">
        <v>9</v>
      </c>
      <c r="F15" t="s">
        <v>143</v>
      </c>
      <c r="G15">
        <v>1</v>
      </c>
      <c r="H15">
        <v>0.2</v>
      </c>
      <c r="I15">
        <v>0</v>
      </c>
      <c r="J15">
        <v>0.2</v>
      </c>
      <c r="K15" t="s">
        <v>72</v>
      </c>
      <c r="L15" s="18">
        <v>0.47916666666666669</v>
      </c>
      <c r="M15" t="s">
        <v>72</v>
      </c>
      <c r="N15" s="18">
        <v>0.48749999999999999</v>
      </c>
      <c r="O15" t="s">
        <v>80</v>
      </c>
      <c r="P15" t="s">
        <v>16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2</v>
      </c>
      <c r="AB15" t="s">
        <v>20</v>
      </c>
      <c r="AC15">
        <v>19</v>
      </c>
    </row>
    <row r="16" spans="1:29" x14ac:dyDescent="0.25">
      <c r="A16">
        <v>126468979</v>
      </c>
      <c r="B16">
        <v>2030272491</v>
      </c>
      <c r="C16">
        <v>40</v>
      </c>
      <c r="E16" t="s">
        <v>9</v>
      </c>
      <c r="F16" t="s">
        <v>144</v>
      </c>
      <c r="G16">
        <v>2</v>
      </c>
      <c r="H16">
        <v>8</v>
      </c>
      <c r="I16">
        <v>0</v>
      </c>
      <c r="J16">
        <v>4</v>
      </c>
      <c r="K16" t="s">
        <v>72</v>
      </c>
      <c r="L16" s="18">
        <v>0.3125</v>
      </c>
      <c r="M16" t="s">
        <v>72</v>
      </c>
      <c r="N16" s="18">
        <v>0.47916666666666669</v>
      </c>
      <c r="O16" t="s">
        <v>11</v>
      </c>
      <c r="P16" t="s">
        <v>14</v>
      </c>
      <c r="Q16" t="s">
        <v>13</v>
      </c>
      <c r="T16" s="18">
        <v>0</v>
      </c>
      <c r="W16" s="19">
        <v>0</v>
      </c>
      <c r="Y16">
        <v>0</v>
      </c>
      <c r="Z16">
        <v>0</v>
      </c>
      <c r="AC16">
        <v>19</v>
      </c>
    </row>
    <row r="17" spans="1:29" x14ac:dyDescent="0.25">
      <c r="A17">
        <v>134037234</v>
      </c>
      <c r="B17">
        <v>2030341896</v>
      </c>
      <c r="C17">
        <v>310</v>
      </c>
      <c r="E17" t="s">
        <v>9</v>
      </c>
      <c r="F17" t="s">
        <v>70</v>
      </c>
      <c r="G17">
        <v>2</v>
      </c>
      <c r="H17">
        <v>4</v>
      </c>
      <c r="I17">
        <v>0</v>
      </c>
      <c r="J17">
        <v>2</v>
      </c>
      <c r="K17" t="s">
        <v>72</v>
      </c>
      <c r="L17" s="18">
        <v>0.3125</v>
      </c>
      <c r="M17" t="s">
        <v>72</v>
      </c>
      <c r="N17" s="18">
        <v>0.41290509259259262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B17" t="s">
        <v>20</v>
      </c>
      <c r="AC17">
        <v>19</v>
      </c>
    </row>
    <row r="18" spans="1:29" x14ac:dyDescent="0.25">
      <c r="A18">
        <v>134037236</v>
      </c>
      <c r="B18">
        <v>2030341896</v>
      </c>
      <c r="C18">
        <v>330</v>
      </c>
      <c r="E18" t="s">
        <v>9</v>
      </c>
      <c r="F18" t="s">
        <v>71</v>
      </c>
      <c r="G18">
        <v>2</v>
      </c>
      <c r="H18">
        <v>6</v>
      </c>
      <c r="I18">
        <v>0</v>
      </c>
      <c r="J18">
        <v>3</v>
      </c>
      <c r="K18" t="s">
        <v>72</v>
      </c>
      <c r="L18" s="18">
        <v>0.65537037037037038</v>
      </c>
      <c r="M18" t="s">
        <v>109</v>
      </c>
      <c r="N18" s="18">
        <v>0.38930555555555557</v>
      </c>
      <c r="O18" t="s">
        <v>11</v>
      </c>
      <c r="P18" t="s">
        <v>14</v>
      </c>
      <c r="Q18" t="s">
        <v>13</v>
      </c>
      <c r="T18" s="18">
        <v>0</v>
      </c>
      <c r="W18" s="19">
        <v>0</v>
      </c>
      <c r="Y18">
        <v>0</v>
      </c>
      <c r="Z18">
        <v>0</v>
      </c>
      <c r="AB18" t="s">
        <v>20</v>
      </c>
      <c r="AC18">
        <v>19</v>
      </c>
    </row>
    <row r="19" spans="1:29" x14ac:dyDescent="0.25">
      <c r="A19">
        <v>127171165</v>
      </c>
      <c r="B19">
        <v>2030389859</v>
      </c>
      <c r="C19">
        <v>10</v>
      </c>
      <c r="E19" t="s">
        <v>9</v>
      </c>
      <c r="F19" t="s">
        <v>145</v>
      </c>
      <c r="G19">
        <v>2</v>
      </c>
      <c r="H19">
        <v>8</v>
      </c>
      <c r="I19">
        <v>0</v>
      </c>
      <c r="J19">
        <v>4</v>
      </c>
      <c r="K19" t="s">
        <v>72</v>
      </c>
      <c r="L19" s="18">
        <v>0.47916666666666669</v>
      </c>
      <c r="M19" t="s">
        <v>72</v>
      </c>
      <c r="N19" s="18">
        <v>0.6875</v>
      </c>
      <c r="O19" t="s">
        <v>11</v>
      </c>
      <c r="P19" t="s">
        <v>14</v>
      </c>
      <c r="Q19" t="s">
        <v>13</v>
      </c>
      <c r="T19" s="18">
        <v>0</v>
      </c>
      <c r="W19" s="19">
        <v>1</v>
      </c>
      <c r="X19" t="s">
        <v>24</v>
      </c>
      <c r="Y19">
        <v>0</v>
      </c>
      <c r="Z19">
        <v>0</v>
      </c>
      <c r="AC19">
        <v>19</v>
      </c>
    </row>
    <row r="20" spans="1:29" x14ac:dyDescent="0.25">
      <c r="A20">
        <v>127503293</v>
      </c>
      <c r="B20">
        <v>2030448636</v>
      </c>
      <c r="C20">
        <v>200</v>
      </c>
      <c r="E20" t="s">
        <v>9</v>
      </c>
      <c r="F20" t="s">
        <v>73</v>
      </c>
      <c r="G20">
        <v>2</v>
      </c>
      <c r="H20">
        <v>2</v>
      </c>
      <c r="I20">
        <v>0</v>
      </c>
      <c r="J20">
        <v>1</v>
      </c>
      <c r="K20" t="s">
        <v>72</v>
      </c>
      <c r="L20" s="18">
        <v>0.3125</v>
      </c>
      <c r="M20" t="s">
        <v>72</v>
      </c>
      <c r="N20" s="18">
        <v>0.35416666666666669</v>
      </c>
      <c r="O20" t="s">
        <v>11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2</v>
      </c>
      <c r="AB20" t="s">
        <v>20</v>
      </c>
      <c r="AC20">
        <v>19</v>
      </c>
    </row>
    <row r="21" spans="1:29" x14ac:dyDescent="0.25">
      <c r="A21">
        <v>127503297</v>
      </c>
      <c r="B21">
        <v>2030448636</v>
      </c>
      <c r="C21">
        <v>210</v>
      </c>
      <c r="E21" t="s">
        <v>9</v>
      </c>
      <c r="F21" t="s">
        <v>74</v>
      </c>
      <c r="G21">
        <v>2</v>
      </c>
      <c r="H21">
        <v>8</v>
      </c>
      <c r="I21">
        <v>0</v>
      </c>
      <c r="J21">
        <v>4</v>
      </c>
      <c r="K21" t="s">
        <v>72</v>
      </c>
      <c r="L21" s="18">
        <v>0.35416666666666669</v>
      </c>
      <c r="M21" t="s">
        <v>72</v>
      </c>
      <c r="N21" s="18">
        <v>0.5625</v>
      </c>
      <c r="O21" t="s">
        <v>11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20</v>
      </c>
      <c r="AC21">
        <v>19</v>
      </c>
    </row>
    <row r="22" spans="1:29" x14ac:dyDescent="0.25">
      <c r="A22">
        <v>127503298</v>
      </c>
      <c r="B22">
        <v>2030448636</v>
      </c>
      <c r="C22">
        <v>220</v>
      </c>
      <c r="E22" t="s">
        <v>9</v>
      </c>
      <c r="F22" t="s">
        <v>75</v>
      </c>
      <c r="G22">
        <v>2</v>
      </c>
      <c r="H22">
        <v>6</v>
      </c>
      <c r="I22">
        <v>0</v>
      </c>
      <c r="J22">
        <v>3</v>
      </c>
      <c r="K22" t="s">
        <v>72</v>
      </c>
      <c r="L22" s="18">
        <v>0.5625</v>
      </c>
      <c r="M22" t="s">
        <v>72</v>
      </c>
      <c r="N22" s="18">
        <v>0.6875</v>
      </c>
      <c r="O22" t="s">
        <v>11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2</v>
      </c>
      <c r="AB22" t="s">
        <v>20</v>
      </c>
      <c r="AC22">
        <v>19</v>
      </c>
    </row>
    <row r="23" spans="1:29" x14ac:dyDescent="0.25">
      <c r="A23">
        <v>134040312</v>
      </c>
      <c r="B23">
        <v>2030707957</v>
      </c>
      <c r="C23">
        <v>190</v>
      </c>
      <c r="E23" t="s">
        <v>9</v>
      </c>
      <c r="F23" t="s">
        <v>51</v>
      </c>
      <c r="G23">
        <v>2</v>
      </c>
      <c r="H23">
        <v>2</v>
      </c>
      <c r="I23">
        <v>0</v>
      </c>
      <c r="J23">
        <v>1</v>
      </c>
      <c r="K23" t="s">
        <v>72</v>
      </c>
      <c r="L23" s="18">
        <v>0.3125</v>
      </c>
      <c r="M23" t="s">
        <v>72</v>
      </c>
      <c r="N23" s="18">
        <v>0.36269675925925926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C23">
        <v>19</v>
      </c>
    </row>
    <row r="24" spans="1:29" x14ac:dyDescent="0.25">
      <c r="A24">
        <v>134195305</v>
      </c>
      <c r="B24">
        <v>2030707957</v>
      </c>
      <c r="C24">
        <v>220</v>
      </c>
      <c r="E24" t="s">
        <v>9</v>
      </c>
      <c r="F24" t="s">
        <v>146</v>
      </c>
      <c r="G24">
        <v>2</v>
      </c>
      <c r="H24">
        <v>2</v>
      </c>
      <c r="I24">
        <v>0</v>
      </c>
      <c r="J24">
        <v>1</v>
      </c>
      <c r="K24" t="s">
        <v>72</v>
      </c>
      <c r="L24" s="18">
        <v>0.3125</v>
      </c>
      <c r="M24" t="s">
        <v>72</v>
      </c>
      <c r="N24" s="18">
        <v>0.36269675925925926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C24">
        <v>19</v>
      </c>
    </row>
    <row r="25" spans="1:29" x14ac:dyDescent="0.25">
      <c r="A25">
        <v>129026460</v>
      </c>
      <c r="B25">
        <v>2030707969</v>
      </c>
      <c r="C25">
        <v>40</v>
      </c>
      <c r="E25" t="s">
        <v>9</v>
      </c>
      <c r="F25" t="s">
        <v>147</v>
      </c>
      <c r="G25">
        <v>2</v>
      </c>
      <c r="H25">
        <v>8</v>
      </c>
      <c r="I25">
        <v>0</v>
      </c>
      <c r="J25">
        <v>4</v>
      </c>
      <c r="K25" t="s">
        <v>72</v>
      </c>
      <c r="L25" s="18">
        <v>0.3125</v>
      </c>
      <c r="M25" t="s">
        <v>72</v>
      </c>
      <c r="N25" s="18">
        <v>0.47916666666666669</v>
      </c>
      <c r="O25" t="s">
        <v>11</v>
      </c>
      <c r="P25" t="s">
        <v>14</v>
      </c>
      <c r="Q25" t="s">
        <v>13</v>
      </c>
      <c r="T25" s="18">
        <v>0</v>
      </c>
      <c r="W25" s="18">
        <v>1</v>
      </c>
      <c r="Y25">
        <v>0</v>
      </c>
      <c r="Z25">
        <v>0</v>
      </c>
      <c r="AC25">
        <v>19</v>
      </c>
    </row>
    <row r="26" spans="1:29" x14ac:dyDescent="0.25">
      <c r="A26">
        <v>129317936</v>
      </c>
      <c r="B26">
        <v>2030731976</v>
      </c>
      <c r="C26">
        <v>60</v>
      </c>
      <c r="E26" t="s">
        <v>9</v>
      </c>
      <c r="F26" t="s">
        <v>76</v>
      </c>
      <c r="G26">
        <v>1</v>
      </c>
      <c r="H26">
        <v>0.2</v>
      </c>
      <c r="I26">
        <v>0</v>
      </c>
      <c r="J26">
        <v>0.2</v>
      </c>
      <c r="K26" t="s">
        <v>72</v>
      </c>
      <c r="L26" s="18">
        <v>0.6875</v>
      </c>
      <c r="M26" t="s">
        <v>72</v>
      </c>
      <c r="N26" s="18">
        <v>0.6958333333333333</v>
      </c>
      <c r="O26" t="s">
        <v>15</v>
      </c>
      <c r="P26" t="s">
        <v>16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2</v>
      </c>
      <c r="AB26" t="s">
        <v>20</v>
      </c>
      <c r="AC26">
        <v>19</v>
      </c>
    </row>
    <row r="27" spans="1:29" x14ac:dyDescent="0.25">
      <c r="A27">
        <v>129384869</v>
      </c>
      <c r="B27">
        <v>2030766269</v>
      </c>
      <c r="C27">
        <v>10</v>
      </c>
      <c r="E27" t="s">
        <v>9</v>
      </c>
      <c r="F27" t="s">
        <v>22</v>
      </c>
      <c r="G27">
        <v>2</v>
      </c>
      <c r="H27">
        <v>8</v>
      </c>
      <c r="I27">
        <v>0</v>
      </c>
      <c r="J27">
        <v>4</v>
      </c>
      <c r="K27" t="s">
        <v>72</v>
      </c>
      <c r="L27" s="18">
        <v>0.47916666666666669</v>
      </c>
      <c r="M27" t="s">
        <v>72</v>
      </c>
      <c r="N27" s="18">
        <v>0.6875</v>
      </c>
      <c r="O27" t="s">
        <v>11</v>
      </c>
      <c r="P27" t="s">
        <v>14</v>
      </c>
      <c r="Q27" t="s">
        <v>13</v>
      </c>
      <c r="T27" s="18">
        <v>0</v>
      </c>
      <c r="W27" s="18">
        <v>1</v>
      </c>
      <c r="X27" t="s">
        <v>24</v>
      </c>
      <c r="Y27">
        <v>0</v>
      </c>
      <c r="Z27">
        <v>0</v>
      </c>
      <c r="AC27">
        <v>19</v>
      </c>
    </row>
    <row r="28" spans="1:29" x14ac:dyDescent="0.25">
      <c r="A28">
        <v>130664360</v>
      </c>
      <c r="B28">
        <v>2030797641</v>
      </c>
      <c r="C28">
        <v>110</v>
      </c>
      <c r="E28" t="s">
        <v>9</v>
      </c>
      <c r="F28" t="s">
        <v>148</v>
      </c>
      <c r="G28">
        <v>2</v>
      </c>
      <c r="H28">
        <v>2</v>
      </c>
      <c r="I28">
        <v>0</v>
      </c>
      <c r="J28">
        <v>1</v>
      </c>
      <c r="K28" t="s">
        <v>72</v>
      </c>
      <c r="L28" s="18">
        <v>0.6875</v>
      </c>
      <c r="M28" t="s">
        <v>72</v>
      </c>
      <c r="N28" s="18">
        <v>0.72916666666666663</v>
      </c>
      <c r="O28" t="s">
        <v>41</v>
      </c>
      <c r="P28" t="s">
        <v>78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1</v>
      </c>
      <c r="AB28" t="s">
        <v>20</v>
      </c>
      <c r="AC28">
        <v>19</v>
      </c>
    </row>
    <row r="29" spans="1:29" x14ac:dyDescent="0.25">
      <c r="A29">
        <v>131817149</v>
      </c>
      <c r="B29">
        <v>2030797641</v>
      </c>
      <c r="C29">
        <v>260</v>
      </c>
      <c r="E29" t="s">
        <v>9</v>
      </c>
      <c r="F29" t="s">
        <v>77</v>
      </c>
      <c r="G29">
        <v>1</v>
      </c>
      <c r="H29">
        <v>0.2</v>
      </c>
      <c r="I29">
        <v>0</v>
      </c>
      <c r="J29">
        <v>0.2</v>
      </c>
      <c r="K29" t="s">
        <v>72</v>
      </c>
      <c r="L29" s="18">
        <v>0.6875</v>
      </c>
      <c r="M29" t="s">
        <v>72</v>
      </c>
      <c r="N29" s="18">
        <v>0.6958333333333333</v>
      </c>
      <c r="O29" t="s">
        <v>15</v>
      </c>
      <c r="P29" t="s">
        <v>78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1</v>
      </c>
      <c r="AB29" t="s">
        <v>20</v>
      </c>
      <c r="AC29">
        <v>19</v>
      </c>
    </row>
    <row r="30" spans="1:29" x14ac:dyDescent="0.25">
      <c r="A30">
        <v>134044064</v>
      </c>
      <c r="B30">
        <v>2030905114</v>
      </c>
      <c r="C30">
        <v>100</v>
      </c>
      <c r="E30" t="s">
        <v>9</v>
      </c>
      <c r="F30" t="s">
        <v>79</v>
      </c>
      <c r="G30">
        <v>2</v>
      </c>
      <c r="H30">
        <v>4</v>
      </c>
      <c r="I30">
        <v>0</v>
      </c>
      <c r="J30">
        <v>2</v>
      </c>
      <c r="K30" t="s">
        <v>114</v>
      </c>
      <c r="L30" s="18">
        <v>0.60416666666666663</v>
      </c>
      <c r="M30" t="s">
        <v>114</v>
      </c>
      <c r="N30" s="18">
        <v>0.6875</v>
      </c>
      <c r="O30" t="s">
        <v>41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B30" t="s">
        <v>20</v>
      </c>
      <c r="AC30">
        <v>19</v>
      </c>
    </row>
    <row r="31" spans="1:29" x14ac:dyDescent="0.25">
      <c r="A31">
        <v>132526101</v>
      </c>
      <c r="B31">
        <v>2031172674</v>
      </c>
      <c r="C31">
        <v>20</v>
      </c>
      <c r="E31" t="s">
        <v>9</v>
      </c>
      <c r="F31" t="s">
        <v>149</v>
      </c>
      <c r="G31">
        <v>2</v>
      </c>
      <c r="H31">
        <v>8</v>
      </c>
      <c r="I31">
        <v>0</v>
      </c>
      <c r="J31">
        <v>4</v>
      </c>
      <c r="K31" t="s">
        <v>72</v>
      </c>
      <c r="L31" s="18">
        <v>0.3125</v>
      </c>
      <c r="M31" t="s">
        <v>72</v>
      </c>
      <c r="N31" s="18">
        <v>0.47916666666666669</v>
      </c>
      <c r="O31" t="s">
        <v>11</v>
      </c>
      <c r="P31" t="s">
        <v>14</v>
      </c>
      <c r="Q31" t="s">
        <v>13</v>
      </c>
      <c r="T31" s="18">
        <v>0</v>
      </c>
      <c r="W31" s="19">
        <v>1</v>
      </c>
      <c r="Y31">
        <v>0</v>
      </c>
      <c r="Z31">
        <v>0</v>
      </c>
      <c r="AC31">
        <v>19</v>
      </c>
    </row>
    <row r="32" spans="1:29" x14ac:dyDescent="0.25">
      <c r="A32">
        <v>132595219</v>
      </c>
      <c r="B32">
        <v>2031187437</v>
      </c>
      <c r="C32">
        <v>10</v>
      </c>
      <c r="E32" t="s">
        <v>9</v>
      </c>
      <c r="F32" t="s">
        <v>145</v>
      </c>
      <c r="G32">
        <v>2</v>
      </c>
      <c r="H32">
        <v>8</v>
      </c>
      <c r="I32">
        <v>0</v>
      </c>
      <c r="J32">
        <v>4</v>
      </c>
      <c r="K32" t="s">
        <v>72</v>
      </c>
      <c r="L32" s="18">
        <v>0.6875</v>
      </c>
      <c r="M32" t="s">
        <v>109</v>
      </c>
      <c r="N32" s="18">
        <v>0.4375</v>
      </c>
      <c r="O32" t="s">
        <v>11</v>
      </c>
      <c r="P32" t="s">
        <v>14</v>
      </c>
      <c r="Q32" t="s">
        <v>13</v>
      </c>
      <c r="T32" s="18">
        <v>0</v>
      </c>
      <c r="W32" s="19">
        <v>1</v>
      </c>
      <c r="X32" t="s">
        <v>24</v>
      </c>
      <c r="Y32">
        <v>0</v>
      </c>
      <c r="Z32">
        <v>0</v>
      </c>
      <c r="AC32">
        <v>19</v>
      </c>
    </row>
    <row r="33" spans="1:29" x14ac:dyDescent="0.25">
      <c r="A33">
        <v>132597027</v>
      </c>
      <c r="B33">
        <v>2031187610</v>
      </c>
      <c r="C33">
        <v>30</v>
      </c>
      <c r="E33" t="s">
        <v>9</v>
      </c>
      <c r="F33" t="s">
        <v>150</v>
      </c>
      <c r="G33">
        <v>2</v>
      </c>
      <c r="H33">
        <v>8</v>
      </c>
      <c r="I33">
        <v>0</v>
      </c>
      <c r="J33">
        <v>4</v>
      </c>
      <c r="K33" t="s">
        <v>72</v>
      </c>
      <c r="L33" s="18">
        <v>0.3125</v>
      </c>
      <c r="M33" t="s">
        <v>72</v>
      </c>
      <c r="N33" s="18">
        <v>0.47916666666666669</v>
      </c>
      <c r="O33" t="s">
        <v>11</v>
      </c>
      <c r="P33" t="s">
        <v>14</v>
      </c>
      <c r="Q33" t="s">
        <v>13</v>
      </c>
      <c r="T33" s="18">
        <v>0</v>
      </c>
      <c r="W33" s="19">
        <v>1</v>
      </c>
      <c r="Y33">
        <v>0</v>
      </c>
      <c r="Z33">
        <v>0</v>
      </c>
      <c r="AC33">
        <v>19</v>
      </c>
    </row>
    <row r="34" spans="1:29" x14ac:dyDescent="0.25">
      <c r="A34">
        <v>134026333</v>
      </c>
      <c r="B34">
        <v>2031357143</v>
      </c>
      <c r="C34">
        <v>140</v>
      </c>
      <c r="E34" t="s">
        <v>9</v>
      </c>
      <c r="F34" t="s">
        <v>151</v>
      </c>
      <c r="G34">
        <v>2</v>
      </c>
      <c r="H34">
        <v>6</v>
      </c>
      <c r="I34">
        <v>0</v>
      </c>
      <c r="J34">
        <v>3</v>
      </c>
      <c r="K34" t="s">
        <v>114</v>
      </c>
      <c r="L34" s="18">
        <v>0.49583333333333335</v>
      </c>
      <c r="M34" t="s">
        <v>114</v>
      </c>
      <c r="N34" s="18">
        <v>0.66249999999999998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B34" t="s">
        <v>20</v>
      </c>
      <c r="AC34">
        <v>19</v>
      </c>
    </row>
    <row r="35" spans="1:29" x14ac:dyDescent="0.25">
      <c r="A35">
        <v>134026334</v>
      </c>
      <c r="B35">
        <v>2031357143</v>
      </c>
      <c r="C35">
        <v>150</v>
      </c>
      <c r="E35" t="s">
        <v>9</v>
      </c>
      <c r="F35" t="s">
        <v>152</v>
      </c>
      <c r="G35">
        <v>2</v>
      </c>
      <c r="H35">
        <v>32</v>
      </c>
      <c r="I35">
        <v>0</v>
      </c>
      <c r="J35">
        <v>16</v>
      </c>
      <c r="K35" t="s">
        <v>114</v>
      </c>
      <c r="L35" s="18">
        <v>0.5625</v>
      </c>
      <c r="M35" t="s">
        <v>124</v>
      </c>
      <c r="N35" s="18">
        <v>0.47916666666666669</v>
      </c>
      <c r="O35" t="s">
        <v>11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B35" t="s">
        <v>20</v>
      </c>
      <c r="AC35">
        <v>19</v>
      </c>
    </row>
    <row r="36" spans="1:29" x14ac:dyDescent="0.25">
      <c r="A36">
        <v>134026337</v>
      </c>
      <c r="B36">
        <v>2031357143</v>
      </c>
      <c r="C36">
        <v>170</v>
      </c>
      <c r="E36" t="s">
        <v>9</v>
      </c>
      <c r="F36" t="s">
        <v>153</v>
      </c>
      <c r="G36">
        <v>2</v>
      </c>
      <c r="H36">
        <v>3</v>
      </c>
      <c r="I36">
        <v>0</v>
      </c>
      <c r="J36">
        <v>1.5</v>
      </c>
      <c r="K36" t="s">
        <v>114</v>
      </c>
      <c r="L36" s="18">
        <v>0.57636574074074076</v>
      </c>
      <c r="M36" t="s">
        <v>114</v>
      </c>
      <c r="N36" s="18">
        <v>0.63886574074074076</v>
      </c>
      <c r="O36" t="s">
        <v>11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B36" t="s">
        <v>20</v>
      </c>
      <c r="AC36">
        <v>19</v>
      </c>
    </row>
    <row r="37" spans="1:29" x14ac:dyDescent="0.25">
      <c r="A37">
        <v>133999476</v>
      </c>
      <c r="B37">
        <v>2031357143</v>
      </c>
      <c r="C37">
        <v>225</v>
      </c>
      <c r="E37" t="s">
        <v>9</v>
      </c>
      <c r="F37" t="s">
        <v>154</v>
      </c>
      <c r="G37">
        <v>1</v>
      </c>
      <c r="H37">
        <v>0.2</v>
      </c>
      <c r="I37">
        <v>0</v>
      </c>
      <c r="J37">
        <v>0.2</v>
      </c>
      <c r="K37" t="s">
        <v>109</v>
      </c>
      <c r="L37" s="18">
        <v>0.40416666666666667</v>
      </c>
      <c r="M37" t="s">
        <v>109</v>
      </c>
      <c r="N37" s="18">
        <v>0.41249999999999998</v>
      </c>
      <c r="O37" t="s">
        <v>11</v>
      </c>
      <c r="P37" t="s">
        <v>14</v>
      </c>
      <c r="Q37" t="s">
        <v>13</v>
      </c>
      <c r="T37" s="18">
        <v>0</v>
      </c>
      <c r="W37" s="18">
        <v>0</v>
      </c>
      <c r="Y37">
        <v>0</v>
      </c>
      <c r="Z37">
        <v>0</v>
      </c>
      <c r="AB37" t="s">
        <v>20</v>
      </c>
      <c r="AC37">
        <v>19</v>
      </c>
    </row>
    <row r="38" spans="1:29" x14ac:dyDescent="0.25">
      <c r="A38">
        <v>133678591</v>
      </c>
      <c r="B38">
        <v>2031362129</v>
      </c>
      <c r="C38">
        <v>185</v>
      </c>
      <c r="E38" t="s">
        <v>9</v>
      </c>
      <c r="F38" t="s">
        <v>82</v>
      </c>
      <c r="G38">
        <v>2</v>
      </c>
      <c r="H38">
        <v>4</v>
      </c>
      <c r="I38">
        <v>0</v>
      </c>
      <c r="J38">
        <v>2</v>
      </c>
      <c r="K38" t="s">
        <v>72</v>
      </c>
      <c r="L38" s="18">
        <v>0.3125</v>
      </c>
      <c r="M38" t="s">
        <v>72</v>
      </c>
      <c r="N38" s="18">
        <v>0.41290509259259262</v>
      </c>
      <c r="O38" t="s">
        <v>41</v>
      </c>
      <c r="P38" t="s">
        <v>14</v>
      </c>
      <c r="Q38" t="s">
        <v>13</v>
      </c>
      <c r="T38" s="18">
        <v>0</v>
      </c>
      <c r="W38" s="18">
        <v>0</v>
      </c>
      <c r="Y38">
        <v>0</v>
      </c>
      <c r="Z38">
        <v>0</v>
      </c>
      <c r="AB38" t="s">
        <v>20</v>
      </c>
      <c r="AC38">
        <v>19</v>
      </c>
    </row>
    <row r="39" spans="1:29" x14ac:dyDescent="0.25">
      <c r="A39">
        <v>133678593</v>
      </c>
      <c r="B39">
        <v>2031362129</v>
      </c>
      <c r="C39">
        <v>187</v>
      </c>
      <c r="E39" t="s">
        <v>9</v>
      </c>
      <c r="F39" t="s">
        <v>83</v>
      </c>
      <c r="G39">
        <v>2</v>
      </c>
      <c r="H39">
        <v>4</v>
      </c>
      <c r="I39">
        <v>0</v>
      </c>
      <c r="J39">
        <v>2</v>
      </c>
      <c r="K39" t="s">
        <v>72</v>
      </c>
      <c r="L39" s="18">
        <v>0.60517361111111112</v>
      </c>
      <c r="M39" t="s">
        <v>72</v>
      </c>
      <c r="N39" s="18">
        <v>0.70557870370370368</v>
      </c>
      <c r="O39" t="s">
        <v>41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B39" t="s">
        <v>20</v>
      </c>
      <c r="AC39">
        <v>19</v>
      </c>
    </row>
    <row r="40" spans="1:29" x14ac:dyDescent="0.25">
      <c r="A40">
        <v>133678606</v>
      </c>
      <c r="B40">
        <v>2031362129</v>
      </c>
      <c r="C40">
        <v>190</v>
      </c>
      <c r="E40" t="s">
        <v>9</v>
      </c>
      <c r="F40" t="s">
        <v>84</v>
      </c>
      <c r="G40">
        <v>1</v>
      </c>
      <c r="H40">
        <v>0.2</v>
      </c>
      <c r="I40">
        <v>0</v>
      </c>
      <c r="J40">
        <v>0.2</v>
      </c>
      <c r="K40" t="s">
        <v>109</v>
      </c>
      <c r="L40" s="18">
        <v>0.36269675925925926</v>
      </c>
      <c r="M40" t="s">
        <v>109</v>
      </c>
      <c r="N40" s="18">
        <v>0.3727314814814815</v>
      </c>
      <c r="O40" t="s">
        <v>15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B40" t="s">
        <v>20</v>
      </c>
      <c r="AC40">
        <v>19</v>
      </c>
    </row>
    <row r="41" spans="1:29" x14ac:dyDescent="0.25">
      <c r="L41" s="18"/>
      <c r="N41" s="18"/>
      <c r="T41" s="18"/>
      <c r="W41" s="18"/>
    </row>
    <row r="42" spans="1:29" x14ac:dyDescent="0.25">
      <c r="L42" s="18"/>
      <c r="N42" s="18"/>
      <c r="T42" s="18"/>
      <c r="W42" s="18"/>
    </row>
    <row r="43" spans="1:29" x14ac:dyDescent="0.25">
      <c r="L43" s="18"/>
      <c r="N43" s="18"/>
      <c r="T43" s="18"/>
      <c r="W43" s="18"/>
    </row>
    <row r="44" spans="1:29" x14ac:dyDescent="0.25">
      <c r="L44" s="18"/>
      <c r="N44" s="18"/>
      <c r="T44" s="18"/>
      <c r="W44" s="18"/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8"/>
    </row>
    <row r="47" spans="1:29" x14ac:dyDescent="0.25">
      <c r="L47" s="18"/>
      <c r="N47" s="18"/>
      <c r="T47" s="18"/>
      <c r="W47" s="18"/>
    </row>
    <row r="48" spans="1:29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8"/>
    </row>
    <row r="50" spans="12:23" x14ac:dyDescent="0.25">
      <c r="L50" s="18"/>
      <c r="N50" s="18"/>
      <c r="T50" s="18"/>
      <c r="W50" s="18"/>
    </row>
    <row r="51" spans="12:23" x14ac:dyDescent="0.25">
      <c r="L51" s="18"/>
      <c r="N51" s="18"/>
      <c r="T51" s="18"/>
      <c r="W51" s="18"/>
    </row>
    <row r="52" spans="12:23" x14ac:dyDescent="0.25">
      <c r="L52" s="18"/>
      <c r="N52" s="18"/>
      <c r="T52" s="18"/>
      <c r="W52" s="18"/>
    </row>
    <row r="53" spans="12:23" x14ac:dyDescent="0.25">
      <c r="L53" s="18"/>
      <c r="N53" s="18"/>
      <c r="T53" s="18"/>
      <c r="W53" s="18"/>
    </row>
    <row r="54" spans="12:23" x14ac:dyDescent="0.25">
      <c r="L54" s="18"/>
      <c r="N54" s="18"/>
      <c r="T54" s="18"/>
      <c r="W54" s="18"/>
    </row>
    <row r="55" spans="12:23" x14ac:dyDescent="0.25">
      <c r="L55" s="18"/>
      <c r="N55" s="18"/>
      <c r="T55" s="18"/>
      <c r="W55" s="18"/>
    </row>
    <row r="56" spans="12:23" x14ac:dyDescent="0.25">
      <c r="L56" s="18"/>
      <c r="N56" s="18"/>
      <c r="T56" s="18"/>
      <c r="W56" s="18"/>
    </row>
    <row r="57" spans="12:23" x14ac:dyDescent="0.25">
      <c r="L57" s="18"/>
      <c r="N57" s="18"/>
      <c r="T57" s="18"/>
      <c r="W57" s="19"/>
    </row>
    <row r="58" spans="12:23" x14ac:dyDescent="0.25">
      <c r="L58" s="18"/>
      <c r="N58" s="18"/>
      <c r="T58" s="18"/>
      <c r="W58" s="18"/>
    </row>
    <row r="59" spans="12:23" x14ac:dyDescent="0.25">
      <c r="L59" s="18"/>
      <c r="N59" s="18"/>
      <c r="T59" s="18"/>
      <c r="W59" s="18"/>
    </row>
    <row r="60" spans="12:23" x14ac:dyDescent="0.25">
      <c r="L60" s="18"/>
      <c r="N60" s="18"/>
      <c r="T60" s="18"/>
      <c r="W60" s="18"/>
    </row>
    <row r="61" spans="12:23" x14ac:dyDescent="0.25">
      <c r="L61" s="18"/>
      <c r="N61" s="18"/>
      <c r="T61" s="18"/>
      <c r="W61" s="18"/>
    </row>
    <row r="62" spans="12:23" x14ac:dyDescent="0.25">
      <c r="L62" s="18"/>
      <c r="N62" s="18"/>
      <c r="T62" s="18"/>
      <c r="W62" s="18"/>
    </row>
    <row r="63" spans="12:23" x14ac:dyDescent="0.25">
      <c r="L63" s="18"/>
      <c r="N63" s="18"/>
      <c r="T63" s="18"/>
      <c r="W63" s="18"/>
    </row>
    <row r="64" spans="12:23" x14ac:dyDescent="0.25">
      <c r="L64" s="18"/>
      <c r="N64" s="18"/>
      <c r="T64" s="18"/>
      <c r="W64" s="18"/>
    </row>
    <row r="65" spans="12:23" x14ac:dyDescent="0.25">
      <c r="L65" s="18"/>
      <c r="N65" s="18"/>
      <c r="T65" s="18"/>
      <c r="W65" s="18"/>
    </row>
    <row r="66" spans="12:23" x14ac:dyDescent="0.25">
      <c r="L66" s="18"/>
      <c r="N66" s="18"/>
      <c r="T66" s="18"/>
      <c r="W66" s="18"/>
    </row>
    <row r="67" spans="12:23" x14ac:dyDescent="0.25">
      <c r="L67" s="18"/>
      <c r="N67" s="18"/>
      <c r="T67" s="18"/>
      <c r="W67" s="18"/>
    </row>
    <row r="68" spans="12:23" x14ac:dyDescent="0.25">
      <c r="L68" s="18"/>
      <c r="N68" s="18"/>
      <c r="T68" s="18"/>
      <c r="W68" s="18"/>
    </row>
    <row r="69" spans="12:23" x14ac:dyDescent="0.25">
      <c r="L69" s="18"/>
      <c r="N69" s="18"/>
      <c r="T69" s="18"/>
      <c r="W69" s="18"/>
    </row>
    <row r="70" spans="12:23" x14ac:dyDescent="0.25">
      <c r="L70" s="18"/>
      <c r="N70" s="18"/>
      <c r="T70" s="18"/>
      <c r="W70" s="18"/>
    </row>
    <row r="71" spans="12:23" x14ac:dyDescent="0.25">
      <c r="L71" s="18"/>
      <c r="N71" s="18"/>
      <c r="T71" s="18"/>
      <c r="W71" s="18"/>
    </row>
    <row r="72" spans="12:23" x14ac:dyDescent="0.25">
      <c r="L72" s="18"/>
      <c r="N72" s="18"/>
      <c r="T72" s="18"/>
      <c r="W72" s="18"/>
    </row>
    <row r="73" spans="12:23" x14ac:dyDescent="0.25">
      <c r="L73" s="18"/>
      <c r="N73" s="18"/>
      <c r="T73" s="18"/>
      <c r="W73" s="18"/>
    </row>
    <row r="74" spans="12:23" x14ac:dyDescent="0.25">
      <c r="L74" s="18"/>
      <c r="N74" s="18"/>
      <c r="T74" s="18"/>
      <c r="W74" s="18"/>
    </row>
    <row r="75" spans="12:23" x14ac:dyDescent="0.25">
      <c r="L75" s="18"/>
      <c r="N75" s="18"/>
      <c r="T75" s="18"/>
      <c r="W75" s="19"/>
    </row>
    <row r="76" spans="12:23" x14ac:dyDescent="0.25">
      <c r="L76" s="18"/>
      <c r="N76" s="18"/>
      <c r="T76" s="18"/>
      <c r="W76" s="18"/>
    </row>
    <row r="77" spans="12:23" x14ac:dyDescent="0.25">
      <c r="L77" s="18"/>
      <c r="N77" s="18"/>
      <c r="T77" s="18"/>
      <c r="W77" s="18"/>
    </row>
    <row r="78" spans="12:23" x14ac:dyDescent="0.25">
      <c r="L78" s="18"/>
      <c r="N78" s="18"/>
      <c r="T78" s="18"/>
      <c r="W78" s="18"/>
    </row>
    <row r="79" spans="12:23" x14ac:dyDescent="0.25">
      <c r="L79" s="18"/>
      <c r="N79" s="18"/>
      <c r="T79" s="18"/>
      <c r="W79" s="18"/>
    </row>
    <row r="80" spans="12:23" x14ac:dyDescent="0.25">
      <c r="L80" s="18"/>
      <c r="N80" s="18"/>
      <c r="T80" s="18"/>
      <c r="W80" s="18"/>
    </row>
    <row r="81" spans="12:23" x14ac:dyDescent="0.25">
      <c r="L81" s="18"/>
      <c r="N81" s="18"/>
      <c r="T81" s="18"/>
      <c r="W81" s="18"/>
    </row>
    <row r="82" spans="12:23" x14ac:dyDescent="0.25">
      <c r="L82" s="18"/>
      <c r="N82" s="18"/>
      <c r="T82" s="18"/>
      <c r="W82" s="18"/>
    </row>
    <row r="83" spans="12:23" x14ac:dyDescent="0.25">
      <c r="L83" s="18"/>
      <c r="N83" s="18"/>
      <c r="T83" s="18"/>
      <c r="W83" s="18"/>
    </row>
    <row r="84" spans="12:23" x14ac:dyDescent="0.25">
      <c r="L84" s="18"/>
      <c r="N84" s="18"/>
      <c r="T84" s="18"/>
      <c r="W84" s="18"/>
    </row>
    <row r="85" spans="12:23" x14ac:dyDescent="0.25">
      <c r="L85" s="18"/>
      <c r="N85" s="18"/>
      <c r="T85" s="18"/>
      <c r="W85" s="18"/>
    </row>
    <row r="86" spans="12:23" x14ac:dyDescent="0.25">
      <c r="L86" s="18"/>
      <c r="N86" s="18"/>
      <c r="T86" s="18"/>
      <c r="W86" s="18"/>
    </row>
    <row r="87" spans="12:23" x14ac:dyDescent="0.25">
      <c r="L87" s="18"/>
      <c r="N87" s="18"/>
      <c r="T87" s="18"/>
      <c r="W87" s="18"/>
    </row>
    <row r="88" spans="12:23" x14ac:dyDescent="0.25">
      <c r="L88" s="18"/>
      <c r="N88" s="18"/>
      <c r="T88" s="18"/>
      <c r="W88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46"/>
  <sheetViews>
    <sheetView workbookViewId="0">
      <selection activeCell="F38" sqref="F38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1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290</v>
      </c>
    </row>
    <row r="2" spans="1:29" s="30" customFormat="1" ht="15.75" thickBot="1" x14ac:dyDescent="0.3">
      <c r="A2" s="27" t="s">
        <v>29</v>
      </c>
      <c r="B2" s="28" t="s">
        <v>28</v>
      </c>
      <c r="C2" s="28" t="s">
        <v>27</v>
      </c>
      <c r="D2" s="28" t="s">
        <v>30</v>
      </c>
      <c r="E2" s="28" t="s">
        <v>31</v>
      </c>
      <c r="F2" s="28" t="s">
        <v>32</v>
      </c>
      <c r="G2" s="28" t="s">
        <v>33</v>
      </c>
      <c r="H2" s="28" t="s">
        <v>34</v>
      </c>
      <c r="I2" s="28" t="s">
        <v>35</v>
      </c>
      <c r="J2" s="29" t="s">
        <v>36</v>
      </c>
      <c r="K2" s="31"/>
    </row>
    <row r="3" spans="1:29" x14ac:dyDescent="0.25">
      <c r="A3">
        <v>133483104</v>
      </c>
      <c r="B3">
        <v>2027174131</v>
      </c>
      <c r="C3">
        <v>105</v>
      </c>
      <c r="E3" t="s">
        <v>10</v>
      </c>
      <c r="F3" t="s">
        <v>159</v>
      </c>
      <c r="G3">
        <v>4</v>
      </c>
      <c r="H3">
        <v>16</v>
      </c>
      <c r="I3">
        <v>0</v>
      </c>
      <c r="J3">
        <v>4</v>
      </c>
      <c r="K3" t="s">
        <v>72</v>
      </c>
      <c r="L3" s="18">
        <v>0.57103009259259263</v>
      </c>
      <c r="M3" t="s">
        <v>109</v>
      </c>
      <c r="N3" s="18">
        <v>0.32103009259259258</v>
      </c>
      <c r="O3" t="s">
        <v>11</v>
      </c>
      <c r="P3" t="s">
        <v>16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20</v>
      </c>
      <c r="AC3">
        <v>19</v>
      </c>
    </row>
    <row r="4" spans="1:29" x14ac:dyDescent="0.25">
      <c r="A4">
        <v>116059685</v>
      </c>
      <c r="B4">
        <v>2028582924</v>
      </c>
      <c r="C4">
        <v>30</v>
      </c>
      <c r="E4" t="s">
        <v>10</v>
      </c>
      <c r="F4" t="s">
        <v>160</v>
      </c>
      <c r="G4">
        <v>4</v>
      </c>
      <c r="H4">
        <v>12</v>
      </c>
      <c r="I4">
        <v>0</v>
      </c>
      <c r="J4">
        <v>3</v>
      </c>
      <c r="K4" t="s">
        <v>72</v>
      </c>
      <c r="L4" s="18">
        <v>0.54166666666666663</v>
      </c>
      <c r="M4" t="s">
        <v>72</v>
      </c>
      <c r="N4" s="18">
        <v>0.66666666666666663</v>
      </c>
      <c r="O4" t="s">
        <v>40</v>
      </c>
      <c r="P4" t="s">
        <v>14</v>
      </c>
      <c r="Q4" t="s">
        <v>13</v>
      </c>
      <c r="T4" s="18">
        <v>0</v>
      </c>
      <c r="W4" s="18">
        <v>1</v>
      </c>
      <c r="X4" t="s">
        <v>24</v>
      </c>
      <c r="Y4">
        <v>0</v>
      </c>
      <c r="Z4">
        <v>0</v>
      </c>
      <c r="AA4">
        <v>2</v>
      </c>
      <c r="AB4" t="s">
        <v>20</v>
      </c>
      <c r="AC4">
        <v>19</v>
      </c>
    </row>
    <row r="5" spans="1:29" x14ac:dyDescent="0.25">
      <c r="A5">
        <v>120722265</v>
      </c>
      <c r="B5">
        <v>2029353148</v>
      </c>
      <c r="C5">
        <v>60</v>
      </c>
      <c r="E5" t="s">
        <v>10</v>
      </c>
      <c r="F5" t="s">
        <v>161</v>
      </c>
      <c r="G5">
        <v>4</v>
      </c>
      <c r="H5">
        <v>12</v>
      </c>
      <c r="I5">
        <v>0</v>
      </c>
      <c r="J5">
        <v>3</v>
      </c>
      <c r="K5" t="s">
        <v>109</v>
      </c>
      <c r="L5" s="18">
        <v>0.63177083333333328</v>
      </c>
      <c r="M5" t="s">
        <v>114</v>
      </c>
      <c r="N5" s="18">
        <v>0.36570601851851853</v>
      </c>
      <c r="O5" t="s">
        <v>40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19</v>
      </c>
    </row>
    <row r="6" spans="1:29" x14ac:dyDescent="0.25">
      <c r="A6">
        <v>129596767</v>
      </c>
      <c r="B6">
        <v>2029484416</v>
      </c>
      <c r="C6">
        <v>90</v>
      </c>
      <c r="E6" t="s">
        <v>10</v>
      </c>
      <c r="F6" t="s">
        <v>87</v>
      </c>
      <c r="G6">
        <v>4</v>
      </c>
      <c r="H6">
        <v>16</v>
      </c>
      <c r="I6">
        <v>0</v>
      </c>
      <c r="J6">
        <v>4</v>
      </c>
      <c r="K6" t="s">
        <v>72</v>
      </c>
      <c r="L6" s="18">
        <v>0.5625</v>
      </c>
      <c r="M6" t="s">
        <v>72</v>
      </c>
      <c r="N6" s="18">
        <v>0.72916666666666663</v>
      </c>
      <c r="O6" t="s">
        <v>40</v>
      </c>
      <c r="P6" t="s">
        <v>16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19</v>
      </c>
    </row>
    <row r="7" spans="1:29" x14ac:dyDescent="0.25">
      <c r="A7">
        <v>129596780</v>
      </c>
      <c r="B7">
        <v>2029484416</v>
      </c>
      <c r="C7">
        <v>200</v>
      </c>
      <c r="E7" t="s">
        <v>10</v>
      </c>
      <c r="F7" t="s">
        <v>162</v>
      </c>
      <c r="G7">
        <v>4</v>
      </c>
      <c r="H7">
        <v>8</v>
      </c>
      <c r="I7">
        <v>0</v>
      </c>
      <c r="J7">
        <v>2</v>
      </c>
      <c r="K7" t="s">
        <v>72</v>
      </c>
      <c r="L7" s="18">
        <v>0.4375</v>
      </c>
      <c r="M7" t="s">
        <v>72</v>
      </c>
      <c r="N7" s="18">
        <v>0.5625</v>
      </c>
      <c r="O7" t="s">
        <v>40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19</v>
      </c>
    </row>
    <row r="8" spans="1:29" x14ac:dyDescent="0.25">
      <c r="A8">
        <v>129596781</v>
      </c>
      <c r="B8">
        <v>2029484416</v>
      </c>
      <c r="C8">
        <v>210</v>
      </c>
      <c r="E8" t="s">
        <v>10</v>
      </c>
      <c r="F8" t="s">
        <v>163</v>
      </c>
      <c r="G8">
        <v>4</v>
      </c>
      <c r="H8">
        <v>16</v>
      </c>
      <c r="I8">
        <v>0</v>
      </c>
      <c r="J8">
        <v>4</v>
      </c>
      <c r="K8" t="s">
        <v>72</v>
      </c>
      <c r="L8" s="18">
        <v>0.41290509259259262</v>
      </c>
      <c r="M8" t="s">
        <v>72</v>
      </c>
      <c r="N8" s="18">
        <v>0.62123842592592593</v>
      </c>
      <c r="O8" t="s">
        <v>40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19</v>
      </c>
    </row>
    <row r="9" spans="1:29" x14ac:dyDescent="0.25">
      <c r="A9">
        <v>133148871</v>
      </c>
      <c r="B9">
        <v>2029808743</v>
      </c>
      <c r="C9">
        <v>41</v>
      </c>
      <c r="E9" t="s">
        <v>10</v>
      </c>
      <c r="F9" t="s">
        <v>164</v>
      </c>
      <c r="G9">
        <v>4</v>
      </c>
      <c r="H9">
        <v>16</v>
      </c>
      <c r="I9">
        <v>0</v>
      </c>
      <c r="J9">
        <v>4</v>
      </c>
      <c r="K9" t="s">
        <v>72</v>
      </c>
      <c r="L9" s="18">
        <v>0.60416666666666663</v>
      </c>
      <c r="M9" t="s">
        <v>109</v>
      </c>
      <c r="N9" s="18">
        <v>0.35416666666666669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B9" t="s">
        <v>20</v>
      </c>
      <c r="AC9">
        <v>19</v>
      </c>
    </row>
    <row r="10" spans="1:29" x14ac:dyDescent="0.25">
      <c r="A10">
        <v>123616466</v>
      </c>
      <c r="B10">
        <v>2029888967</v>
      </c>
      <c r="C10">
        <v>140</v>
      </c>
      <c r="E10" t="s">
        <v>10</v>
      </c>
      <c r="F10" t="s">
        <v>165</v>
      </c>
      <c r="G10">
        <v>4</v>
      </c>
      <c r="H10">
        <v>8</v>
      </c>
      <c r="I10">
        <v>0</v>
      </c>
      <c r="J10">
        <v>2</v>
      </c>
      <c r="K10" t="s">
        <v>72</v>
      </c>
      <c r="L10" s="18">
        <v>0.62123842592592593</v>
      </c>
      <c r="M10" t="s">
        <v>72</v>
      </c>
      <c r="N10" s="18">
        <v>0.7045717592592593</v>
      </c>
      <c r="O10" t="s">
        <v>40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B10" t="s">
        <v>20</v>
      </c>
      <c r="AC10">
        <v>19</v>
      </c>
    </row>
    <row r="11" spans="1:29" x14ac:dyDescent="0.25">
      <c r="A11">
        <v>126532463</v>
      </c>
      <c r="B11">
        <v>2030261925</v>
      </c>
      <c r="C11">
        <v>60</v>
      </c>
      <c r="E11" t="s">
        <v>10</v>
      </c>
      <c r="F11" t="s">
        <v>166</v>
      </c>
      <c r="G11">
        <v>4</v>
      </c>
      <c r="H11">
        <v>12</v>
      </c>
      <c r="I11">
        <v>0</v>
      </c>
      <c r="J11">
        <v>3</v>
      </c>
      <c r="K11" t="s">
        <v>109</v>
      </c>
      <c r="L11" s="18">
        <v>0.45833333333333331</v>
      </c>
      <c r="M11" t="s">
        <v>109</v>
      </c>
      <c r="N11" s="18">
        <v>0.625</v>
      </c>
      <c r="O11" t="s">
        <v>41</v>
      </c>
      <c r="P11" t="s">
        <v>14</v>
      </c>
      <c r="Q11" t="s">
        <v>13</v>
      </c>
      <c r="T11" s="18">
        <v>0</v>
      </c>
      <c r="W11" s="19">
        <v>0</v>
      </c>
      <c r="Y11">
        <v>0</v>
      </c>
      <c r="Z11">
        <v>0</v>
      </c>
      <c r="AA11">
        <v>2</v>
      </c>
      <c r="AB11" t="s">
        <v>20</v>
      </c>
      <c r="AC11">
        <v>19</v>
      </c>
    </row>
    <row r="12" spans="1:29" x14ac:dyDescent="0.25">
      <c r="A12">
        <v>129317935</v>
      </c>
      <c r="B12">
        <v>2030731976</v>
      </c>
      <c r="C12">
        <v>50</v>
      </c>
      <c r="E12" t="s">
        <v>10</v>
      </c>
      <c r="F12" t="s">
        <v>167</v>
      </c>
      <c r="G12">
        <v>4</v>
      </c>
      <c r="H12">
        <v>6</v>
      </c>
      <c r="I12">
        <v>0</v>
      </c>
      <c r="J12">
        <v>1.5</v>
      </c>
      <c r="K12" t="s">
        <v>72</v>
      </c>
      <c r="L12" s="18">
        <v>0.41290509259259262</v>
      </c>
      <c r="M12" t="s">
        <v>72</v>
      </c>
      <c r="N12" s="18">
        <v>0.47540509259259262</v>
      </c>
      <c r="O12" t="s">
        <v>19</v>
      </c>
      <c r="P12" t="s">
        <v>16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20</v>
      </c>
      <c r="AC12">
        <v>19</v>
      </c>
    </row>
    <row r="13" spans="1:29" x14ac:dyDescent="0.25">
      <c r="A13">
        <v>131849563</v>
      </c>
      <c r="B13">
        <v>2030908629</v>
      </c>
      <c r="C13">
        <v>20</v>
      </c>
      <c r="E13" t="s">
        <v>10</v>
      </c>
      <c r="F13" t="s">
        <v>168</v>
      </c>
      <c r="G13">
        <v>4</v>
      </c>
      <c r="H13">
        <v>8</v>
      </c>
      <c r="I13">
        <v>0</v>
      </c>
      <c r="J13">
        <v>2</v>
      </c>
      <c r="K13" t="s">
        <v>109</v>
      </c>
      <c r="L13" s="18">
        <v>0.60416666666666663</v>
      </c>
      <c r="M13" t="s">
        <v>109</v>
      </c>
      <c r="N13" s="18">
        <v>0.6875</v>
      </c>
      <c r="O13" t="s">
        <v>11</v>
      </c>
      <c r="P13" t="s">
        <v>14</v>
      </c>
      <c r="Q13" t="s">
        <v>13</v>
      </c>
      <c r="T13" s="18">
        <v>0</v>
      </c>
      <c r="W13" s="19">
        <v>0</v>
      </c>
      <c r="Y13">
        <v>0</v>
      </c>
      <c r="Z13">
        <v>0</v>
      </c>
      <c r="AA13">
        <v>1</v>
      </c>
      <c r="AB13" t="s">
        <v>20</v>
      </c>
      <c r="AC13">
        <v>19</v>
      </c>
    </row>
    <row r="14" spans="1:29" x14ac:dyDescent="0.25">
      <c r="A14">
        <v>133458804</v>
      </c>
      <c r="B14">
        <v>2030965164</v>
      </c>
      <c r="C14">
        <v>810</v>
      </c>
      <c r="E14" t="s">
        <v>10</v>
      </c>
      <c r="F14" t="s">
        <v>169</v>
      </c>
      <c r="G14">
        <v>4</v>
      </c>
      <c r="H14">
        <v>16</v>
      </c>
      <c r="I14">
        <v>0</v>
      </c>
      <c r="J14">
        <v>4</v>
      </c>
      <c r="K14" t="s">
        <v>72</v>
      </c>
      <c r="L14" s="18">
        <v>0.39583333333333331</v>
      </c>
      <c r="M14" t="s">
        <v>72</v>
      </c>
      <c r="N14" s="18">
        <v>0.60416666666666663</v>
      </c>
      <c r="O14" t="s">
        <v>11</v>
      </c>
      <c r="P14" t="s">
        <v>14</v>
      </c>
      <c r="Q14" t="s">
        <v>13</v>
      </c>
      <c r="T14" s="18">
        <v>0</v>
      </c>
      <c r="W14" s="19">
        <v>0</v>
      </c>
      <c r="Y14">
        <v>0</v>
      </c>
      <c r="Z14">
        <v>0</v>
      </c>
      <c r="AA14">
        <v>2</v>
      </c>
      <c r="AB14" t="s">
        <v>20</v>
      </c>
      <c r="AC14">
        <v>19</v>
      </c>
    </row>
    <row r="15" spans="1:29" x14ac:dyDescent="0.25">
      <c r="A15">
        <v>130888176</v>
      </c>
      <c r="B15">
        <v>2030965404</v>
      </c>
      <c r="C15">
        <v>50</v>
      </c>
      <c r="E15" t="s">
        <v>10</v>
      </c>
      <c r="F15" t="s">
        <v>170</v>
      </c>
      <c r="G15">
        <v>4</v>
      </c>
      <c r="H15">
        <v>6</v>
      </c>
      <c r="I15">
        <v>0</v>
      </c>
      <c r="J15">
        <v>1.5</v>
      </c>
      <c r="K15" t="s">
        <v>109</v>
      </c>
      <c r="L15" s="18">
        <v>0.6875</v>
      </c>
      <c r="M15" t="s">
        <v>114</v>
      </c>
      <c r="N15" s="18">
        <v>0.33333333333333331</v>
      </c>
      <c r="O15" t="s">
        <v>40</v>
      </c>
      <c r="P15" t="s">
        <v>14</v>
      </c>
      <c r="Q15" t="s">
        <v>13</v>
      </c>
      <c r="T15" s="18">
        <v>0</v>
      </c>
      <c r="W15" s="19">
        <v>0</v>
      </c>
      <c r="Y15">
        <v>0</v>
      </c>
      <c r="Z15">
        <v>0</v>
      </c>
      <c r="AA15">
        <v>1</v>
      </c>
      <c r="AB15" t="s">
        <v>20</v>
      </c>
      <c r="AC15">
        <v>19</v>
      </c>
    </row>
    <row r="16" spans="1:29" x14ac:dyDescent="0.25">
      <c r="A16">
        <v>131221861</v>
      </c>
      <c r="B16">
        <v>2030988902</v>
      </c>
      <c r="C16">
        <v>111</v>
      </c>
      <c r="E16" t="s">
        <v>10</v>
      </c>
      <c r="F16" t="s">
        <v>92</v>
      </c>
      <c r="G16">
        <v>4</v>
      </c>
      <c r="H16">
        <v>4</v>
      </c>
      <c r="I16">
        <v>0</v>
      </c>
      <c r="J16">
        <v>1</v>
      </c>
      <c r="K16" t="s">
        <v>72</v>
      </c>
      <c r="L16" s="18">
        <v>0.3125</v>
      </c>
      <c r="M16" t="s">
        <v>72</v>
      </c>
      <c r="N16" s="18">
        <v>0.36269675925925926</v>
      </c>
      <c r="O16" t="s">
        <v>11</v>
      </c>
      <c r="P16" t="s">
        <v>14</v>
      </c>
      <c r="Q16" t="s">
        <v>13</v>
      </c>
      <c r="T16" s="18">
        <v>0</v>
      </c>
      <c r="W16" s="19">
        <v>0</v>
      </c>
      <c r="Y16">
        <v>0</v>
      </c>
      <c r="Z16">
        <v>0</v>
      </c>
      <c r="AB16" t="s">
        <v>20</v>
      </c>
      <c r="AC16">
        <v>19</v>
      </c>
    </row>
    <row r="17" spans="1:29" x14ac:dyDescent="0.25">
      <c r="A17">
        <v>131221862</v>
      </c>
      <c r="B17">
        <v>2030988902</v>
      </c>
      <c r="C17">
        <v>112</v>
      </c>
      <c r="E17" t="s">
        <v>10</v>
      </c>
      <c r="F17" t="s">
        <v>93</v>
      </c>
      <c r="G17">
        <v>4</v>
      </c>
      <c r="H17">
        <v>12</v>
      </c>
      <c r="I17">
        <v>0</v>
      </c>
      <c r="J17">
        <v>3</v>
      </c>
      <c r="K17" t="s">
        <v>72</v>
      </c>
      <c r="L17" s="18">
        <v>0.36269675925925926</v>
      </c>
      <c r="M17" t="s">
        <v>72</v>
      </c>
      <c r="N17" s="18">
        <v>0.55496527777777782</v>
      </c>
      <c r="O17" t="s">
        <v>11</v>
      </c>
      <c r="P17" t="s">
        <v>14</v>
      </c>
      <c r="Q17" t="s">
        <v>13</v>
      </c>
      <c r="T17" s="18">
        <v>0</v>
      </c>
      <c r="W17" s="19">
        <v>0</v>
      </c>
      <c r="Y17">
        <v>0</v>
      </c>
      <c r="Z17">
        <v>0</v>
      </c>
      <c r="AB17" t="s">
        <v>20</v>
      </c>
      <c r="AC17">
        <v>19</v>
      </c>
    </row>
    <row r="18" spans="1:29" x14ac:dyDescent="0.25">
      <c r="A18">
        <v>131926490</v>
      </c>
      <c r="B18">
        <v>2031081425</v>
      </c>
      <c r="C18">
        <v>10</v>
      </c>
      <c r="E18" t="s">
        <v>10</v>
      </c>
      <c r="F18" t="s">
        <v>94</v>
      </c>
      <c r="G18">
        <v>4</v>
      </c>
      <c r="H18">
        <v>8</v>
      </c>
      <c r="I18">
        <v>0</v>
      </c>
      <c r="J18">
        <v>2</v>
      </c>
      <c r="K18" t="s">
        <v>109</v>
      </c>
      <c r="L18" s="18">
        <v>0.35416666666666669</v>
      </c>
      <c r="M18" t="s">
        <v>109</v>
      </c>
      <c r="N18" s="18">
        <v>0.4375</v>
      </c>
      <c r="O18" t="s">
        <v>11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20</v>
      </c>
      <c r="AC18">
        <v>19</v>
      </c>
    </row>
    <row r="19" spans="1:29" x14ac:dyDescent="0.25">
      <c r="A19">
        <v>132199300</v>
      </c>
      <c r="B19">
        <v>2031081425</v>
      </c>
      <c r="C19">
        <v>30</v>
      </c>
      <c r="E19" t="s">
        <v>10</v>
      </c>
      <c r="F19" t="s">
        <v>95</v>
      </c>
      <c r="G19">
        <v>4</v>
      </c>
      <c r="H19">
        <v>4</v>
      </c>
      <c r="I19">
        <v>0</v>
      </c>
      <c r="J19">
        <v>1</v>
      </c>
      <c r="K19" t="s">
        <v>109</v>
      </c>
      <c r="L19" s="18">
        <v>0.5625</v>
      </c>
      <c r="M19" t="s">
        <v>109</v>
      </c>
      <c r="N19" s="18">
        <v>0.60416666666666663</v>
      </c>
      <c r="O19" t="s">
        <v>11</v>
      </c>
      <c r="P19" t="s">
        <v>14</v>
      </c>
      <c r="Q19" t="s">
        <v>13</v>
      </c>
      <c r="T19" s="18">
        <v>0</v>
      </c>
      <c r="W19" s="19">
        <v>0</v>
      </c>
      <c r="Y19">
        <v>0</v>
      </c>
      <c r="Z19">
        <v>0</v>
      </c>
      <c r="AA19">
        <v>1</v>
      </c>
      <c r="AB19" t="s">
        <v>20</v>
      </c>
      <c r="AC19">
        <v>19</v>
      </c>
    </row>
    <row r="20" spans="1:29" x14ac:dyDescent="0.25">
      <c r="A20">
        <v>131998596</v>
      </c>
      <c r="B20">
        <v>2031082122</v>
      </c>
      <c r="C20">
        <v>40</v>
      </c>
      <c r="E20" t="s">
        <v>10</v>
      </c>
      <c r="F20" t="s">
        <v>171</v>
      </c>
      <c r="G20">
        <v>4</v>
      </c>
      <c r="H20">
        <v>4</v>
      </c>
      <c r="I20">
        <v>0</v>
      </c>
      <c r="J20">
        <v>1</v>
      </c>
      <c r="K20" t="s">
        <v>114</v>
      </c>
      <c r="L20" s="18">
        <v>0.3125</v>
      </c>
      <c r="M20" t="s">
        <v>114</v>
      </c>
      <c r="N20" s="18">
        <v>0.35416666666666669</v>
      </c>
      <c r="O20" t="s">
        <v>11</v>
      </c>
      <c r="P20" t="s">
        <v>14</v>
      </c>
      <c r="Q20" t="s">
        <v>13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20</v>
      </c>
      <c r="AC20">
        <v>19</v>
      </c>
    </row>
    <row r="21" spans="1:29" x14ac:dyDescent="0.25">
      <c r="A21">
        <v>131995047</v>
      </c>
      <c r="B21">
        <v>2031093414</v>
      </c>
      <c r="C21">
        <v>10</v>
      </c>
      <c r="E21" t="s">
        <v>10</v>
      </c>
      <c r="F21" t="s">
        <v>172</v>
      </c>
      <c r="G21">
        <v>4</v>
      </c>
      <c r="H21">
        <v>8</v>
      </c>
      <c r="I21">
        <v>0</v>
      </c>
      <c r="J21">
        <v>2</v>
      </c>
      <c r="K21" t="s">
        <v>109</v>
      </c>
      <c r="L21" s="18">
        <v>0.60416666666666663</v>
      </c>
      <c r="M21" t="s">
        <v>109</v>
      </c>
      <c r="N21" s="18">
        <v>0.6875</v>
      </c>
      <c r="O21" t="s">
        <v>40</v>
      </c>
      <c r="P21" t="s">
        <v>16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B21" t="s">
        <v>20</v>
      </c>
      <c r="AC21">
        <v>19</v>
      </c>
    </row>
    <row r="22" spans="1:29" x14ac:dyDescent="0.25">
      <c r="A22">
        <v>131996691</v>
      </c>
      <c r="B22">
        <v>2031093414</v>
      </c>
      <c r="C22">
        <v>40</v>
      </c>
      <c r="E22" t="s">
        <v>10</v>
      </c>
      <c r="F22" t="s">
        <v>173</v>
      </c>
      <c r="G22">
        <v>4</v>
      </c>
      <c r="H22">
        <v>4</v>
      </c>
      <c r="I22">
        <v>0</v>
      </c>
      <c r="J22">
        <v>1</v>
      </c>
      <c r="K22" t="s">
        <v>109</v>
      </c>
      <c r="L22" s="18">
        <v>0.6875</v>
      </c>
      <c r="M22" t="s">
        <v>109</v>
      </c>
      <c r="N22" s="18">
        <v>0.72916666666666663</v>
      </c>
      <c r="O22" t="s">
        <v>19</v>
      </c>
      <c r="P22" t="s">
        <v>16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B22" t="s">
        <v>20</v>
      </c>
      <c r="AC22">
        <v>19</v>
      </c>
    </row>
    <row r="23" spans="1:29" x14ac:dyDescent="0.25">
      <c r="A23">
        <v>132123044</v>
      </c>
      <c r="B23">
        <v>2031111942</v>
      </c>
      <c r="C23">
        <v>10</v>
      </c>
      <c r="E23" t="s">
        <v>10</v>
      </c>
      <c r="F23" t="s">
        <v>174</v>
      </c>
      <c r="G23">
        <v>4</v>
      </c>
      <c r="H23">
        <v>8</v>
      </c>
      <c r="I23">
        <v>0</v>
      </c>
      <c r="J23">
        <v>2</v>
      </c>
      <c r="K23" t="s">
        <v>72</v>
      </c>
      <c r="L23" s="18">
        <v>0.3125</v>
      </c>
      <c r="M23" t="s">
        <v>72</v>
      </c>
      <c r="N23" s="18">
        <v>0.39583333333333331</v>
      </c>
      <c r="O23" t="s">
        <v>11</v>
      </c>
      <c r="P23" t="s">
        <v>14</v>
      </c>
      <c r="Q23" t="s">
        <v>13</v>
      </c>
      <c r="T23" s="18">
        <v>0</v>
      </c>
      <c r="W23" s="18">
        <v>1</v>
      </c>
      <c r="X23" t="s">
        <v>24</v>
      </c>
      <c r="Y23">
        <v>0</v>
      </c>
      <c r="Z23">
        <v>0</v>
      </c>
      <c r="AC23">
        <v>19</v>
      </c>
    </row>
    <row r="24" spans="1:29" x14ac:dyDescent="0.25">
      <c r="A24">
        <v>132123046</v>
      </c>
      <c r="B24">
        <v>2031111942</v>
      </c>
      <c r="C24">
        <v>30</v>
      </c>
      <c r="E24" t="s">
        <v>10</v>
      </c>
      <c r="F24" t="s">
        <v>175</v>
      </c>
      <c r="G24">
        <v>4</v>
      </c>
      <c r="H24">
        <v>4</v>
      </c>
      <c r="I24">
        <v>0</v>
      </c>
      <c r="J24">
        <v>1</v>
      </c>
      <c r="K24" t="s">
        <v>72</v>
      </c>
      <c r="L24" s="18">
        <v>0.47916666666666669</v>
      </c>
      <c r="M24" t="s">
        <v>72</v>
      </c>
      <c r="N24" s="18">
        <v>0.5625</v>
      </c>
      <c r="O24" t="s">
        <v>11</v>
      </c>
      <c r="P24" t="s">
        <v>14</v>
      </c>
      <c r="Q24" t="s">
        <v>13</v>
      </c>
      <c r="T24" s="18">
        <v>0</v>
      </c>
      <c r="W24" s="18">
        <v>1</v>
      </c>
      <c r="X24" t="s">
        <v>24</v>
      </c>
      <c r="Y24">
        <v>0</v>
      </c>
      <c r="Z24">
        <v>0</v>
      </c>
      <c r="AC24">
        <v>19</v>
      </c>
    </row>
    <row r="25" spans="1:29" x14ac:dyDescent="0.25">
      <c r="A25">
        <v>132525713</v>
      </c>
      <c r="B25">
        <v>2031172595</v>
      </c>
      <c r="C25">
        <v>5</v>
      </c>
      <c r="E25" t="s">
        <v>10</v>
      </c>
      <c r="F25" t="s">
        <v>88</v>
      </c>
      <c r="G25">
        <v>4</v>
      </c>
      <c r="H25">
        <v>12</v>
      </c>
      <c r="I25">
        <v>0</v>
      </c>
      <c r="J25">
        <v>3</v>
      </c>
      <c r="K25" t="s">
        <v>72</v>
      </c>
      <c r="L25" s="18">
        <v>0.3125</v>
      </c>
      <c r="M25" t="s">
        <v>72</v>
      </c>
      <c r="N25" s="18">
        <v>0.4375</v>
      </c>
      <c r="O25" t="s">
        <v>40</v>
      </c>
      <c r="P25" t="s">
        <v>14</v>
      </c>
      <c r="Q25" t="s">
        <v>13</v>
      </c>
      <c r="T25" s="18">
        <v>0</v>
      </c>
      <c r="W25" s="18">
        <v>1</v>
      </c>
      <c r="Y25">
        <v>0</v>
      </c>
      <c r="Z25">
        <v>0</v>
      </c>
      <c r="AC25">
        <v>19</v>
      </c>
    </row>
    <row r="26" spans="1:29" x14ac:dyDescent="0.25">
      <c r="A26">
        <v>132526706</v>
      </c>
      <c r="B26">
        <v>2031172767</v>
      </c>
      <c r="C26">
        <v>140</v>
      </c>
      <c r="E26" t="s">
        <v>10</v>
      </c>
      <c r="F26" t="s">
        <v>176</v>
      </c>
      <c r="G26">
        <v>4</v>
      </c>
      <c r="H26">
        <v>4</v>
      </c>
      <c r="I26">
        <v>0</v>
      </c>
      <c r="J26">
        <v>1</v>
      </c>
      <c r="K26" t="s">
        <v>114</v>
      </c>
      <c r="L26" s="18">
        <v>0.46611111111111109</v>
      </c>
      <c r="M26" t="s">
        <v>114</v>
      </c>
      <c r="N26" s="18">
        <v>0.55797453703703703</v>
      </c>
      <c r="O26" t="s">
        <v>11</v>
      </c>
      <c r="P26" t="s">
        <v>14</v>
      </c>
      <c r="Q26" t="s">
        <v>13</v>
      </c>
      <c r="T26" s="18">
        <v>0</v>
      </c>
      <c r="W26" s="18">
        <v>1</v>
      </c>
      <c r="Y26">
        <v>0</v>
      </c>
      <c r="Z26">
        <v>0</v>
      </c>
      <c r="AA26">
        <v>1</v>
      </c>
      <c r="AB26" t="s">
        <v>20</v>
      </c>
      <c r="AC26">
        <v>19</v>
      </c>
    </row>
    <row r="27" spans="1:29" x14ac:dyDescent="0.25">
      <c r="A27">
        <v>132526707</v>
      </c>
      <c r="B27">
        <v>2031172767</v>
      </c>
      <c r="C27">
        <v>150</v>
      </c>
      <c r="E27" t="s">
        <v>10</v>
      </c>
      <c r="F27" t="s">
        <v>177</v>
      </c>
      <c r="G27">
        <v>4</v>
      </c>
      <c r="H27">
        <v>4</v>
      </c>
      <c r="I27">
        <v>0</v>
      </c>
      <c r="J27">
        <v>1</v>
      </c>
      <c r="K27" t="s">
        <v>114</v>
      </c>
      <c r="L27" s="18">
        <v>0.55797453703703703</v>
      </c>
      <c r="M27" t="s">
        <v>114</v>
      </c>
      <c r="N27" s="18">
        <v>0.60817129629629629</v>
      </c>
      <c r="O27" t="s">
        <v>11</v>
      </c>
      <c r="P27" t="s">
        <v>14</v>
      </c>
      <c r="Q27" t="s">
        <v>13</v>
      </c>
      <c r="T27" s="18">
        <v>0</v>
      </c>
      <c r="W27" s="18">
        <v>1</v>
      </c>
      <c r="Y27">
        <v>0</v>
      </c>
      <c r="Z27">
        <v>0</v>
      </c>
      <c r="AA27">
        <v>1</v>
      </c>
      <c r="AB27" t="s">
        <v>20</v>
      </c>
      <c r="AC27">
        <v>19</v>
      </c>
    </row>
    <row r="28" spans="1:29" x14ac:dyDescent="0.25">
      <c r="A28">
        <v>132526708</v>
      </c>
      <c r="B28">
        <v>2031172767</v>
      </c>
      <c r="C28">
        <v>160</v>
      </c>
      <c r="E28" t="s">
        <v>10</v>
      </c>
      <c r="F28" t="s">
        <v>178</v>
      </c>
      <c r="G28">
        <v>4</v>
      </c>
      <c r="H28">
        <v>4</v>
      </c>
      <c r="I28">
        <v>0</v>
      </c>
      <c r="J28">
        <v>1</v>
      </c>
      <c r="K28" t="s">
        <v>114</v>
      </c>
      <c r="L28" s="18">
        <v>0.60817129629629629</v>
      </c>
      <c r="M28" t="s">
        <v>114</v>
      </c>
      <c r="N28" s="18">
        <v>0.65836805555555555</v>
      </c>
      <c r="O28" t="s">
        <v>11</v>
      </c>
      <c r="P28" t="s">
        <v>14</v>
      </c>
      <c r="Q28" t="s">
        <v>13</v>
      </c>
      <c r="T28" s="18">
        <v>0</v>
      </c>
      <c r="W28" s="18">
        <v>1</v>
      </c>
      <c r="Y28">
        <v>0</v>
      </c>
      <c r="Z28">
        <v>0</v>
      </c>
      <c r="AA28">
        <v>1</v>
      </c>
      <c r="AB28" t="s">
        <v>20</v>
      </c>
      <c r="AC28">
        <v>19</v>
      </c>
    </row>
    <row r="29" spans="1:29" x14ac:dyDescent="0.25">
      <c r="A29">
        <v>132526709</v>
      </c>
      <c r="B29">
        <v>2031172767</v>
      </c>
      <c r="C29">
        <v>170</v>
      </c>
      <c r="E29" t="s">
        <v>10</v>
      </c>
      <c r="F29" t="s">
        <v>179</v>
      </c>
      <c r="G29">
        <v>4</v>
      </c>
      <c r="H29">
        <v>4</v>
      </c>
      <c r="I29">
        <v>0</v>
      </c>
      <c r="J29">
        <v>1</v>
      </c>
      <c r="K29" t="s">
        <v>114</v>
      </c>
      <c r="L29" s="18">
        <v>0.65836805555555555</v>
      </c>
      <c r="M29" t="s">
        <v>116</v>
      </c>
      <c r="N29" s="18">
        <v>0.33356481481481481</v>
      </c>
      <c r="O29" t="s">
        <v>11</v>
      </c>
      <c r="P29" t="s">
        <v>14</v>
      </c>
      <c r="Q29" t="s">
        <v>13</v>
      </c>
      <c r="T29" s="18">
        <v>0</v>
      </c>
      <c r="W29" s="18">
        <v>1</v>
      </c>
      <c r="Y29">
        <v>0</v>
      </c>
      <c r="Z29">
        <v>0</v>
      </c>
      <c r="AA29">
        <v>1</v>
      </c>
      <c r="AB29" t="s">
        <v>20</v>
      </c>
      <c r="AC29">
        <v>19</v>
      </c>
    </row>
    <row r="30" spans="1:29" x14ac:dyDescent="0.25">
      <c r="A30">
        <v>132685276</v>
      </c>
      <c r="B30">
        <v>2031202858</v>
      </c>
      <c r="C30">
        <v>80</v>
      </c>
      <c r="E30" t="s">
        <v>10</v>
      </c>
      <c r="F30" t="s">
        <v>180</v>
      </c>
      <c r="G30">
        <v>4</v>
      </c>
      <c r="H30">
        <v>6</v>
      </c>
      <c r="I30">
        <v>0</v>
      </c>
      <c r="J30">
        <v>1.5</v>
      </c>
      <c r="K30" t="s">
        <v>109</v>
      </c>
      <c r="L30" s="18">
        <v>0.33909722222222222</v>
      </c>
      <c r="M30" t="s">
        <v>109</v>
      </c>
      <c r="N30" s="18">
        <v>0.41439814814814813</v>
      </c>
      <c r="O30" t="s">
        <v>11</v>
      </c>
      <c r="P30" t="s">
        <v>14</v>
      </c>
      <c r="Q30" t="s">
        <v>13</v>
      </c>
      <c r="T30" s="18">
        <v>0</v>
      </c>
      <c r="W30" s="18">
        <v>1</v>
      </c>
      <c r="Y30">
        <v>0</v>
      </c>
      <c r="Z30">
        <v>0</v>
      </c>
      <c r="AA30">
        <v>1</v>
      </c>
      <c r="AB30" t="s">
        <v>20</v>
      </c>
      <c r="AC30">
        <v>19</v>
      </c>
    </row>
    <row r="31" spans="1:29" x14ac:dyDescent="0.25">
      <c r="A31">
        <v>133567438</v>
      </c>
      <c r="B31">
        <v>2031234074</v>
      </c>
      <c r="C31">
        <v>1</v>
      </c>
      <c r="E31" t="s">
        <v>10</v>
      </c>
      <c r="F31" t="s">
        <v>97</v>
      </c>
      <c r="G31">
        <v>4</v>
      </c>
      <c r="H31">
        <v>24</v>
      </c>
      <c r="I31">
        <v>0</v>
      </c>
      <c r="J31">
        <v>6</v>
      </c>
      <c r="K31" t="s">
        <v>72</v>
      </c>
      <c r="L31" s="18">
        <v>0.6875</v>
      </c>
      <c r="M31" t="s">
        <v>109</v>
      </c>
      <c r="N31" s="18">
        <v>0.5625</v>
      </c>
      <c r="O31" t="s">
        <v>41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B31" t="s">
        <v>20</v>
      </c>
      <c r="AC31">
        <v>19</v>
      </c>
    </row>
    <row r="32" spans="1:29" x14ac:dyDescent="0.25">
      <c r="A32">
        <v>134026342</v>
      </c>
      <c r="B32">
        <v>2031357143</v>
      </c>
      <c r="C32">
        <v>220</v>
      </c>
      <c r="E32" t="s">
        <v>10</v>
      </c>
      <c r="F32" t="s">
        <v>181</v>
      </c>
      <c r="G32">
        <v>4</v>
      </c>
      <c r="H32">
        <v>12</v>
      </c>
      <c r="I32">
        <v>0</v>
      </c>
      <c r="J32">
        <v>3</v>
      </c>
      <c r="K32" t="s">
        <v>72</v>
      </c>
      <c r="L32" s="18">
        <v>0.7045717592592593</v>
      </c>
      <c r="M32" t="s">
        <v>109</v>
      </c>
      <c r="N32" s="18">
        <v>0.41290509259259262</v>
      </c>
      <c r="O32" t="s">
        <v>11</v>
      </c>
      <c r="P32" t="s">
        <v>14</v>
      </c>
      <c r="Q32" t="s">
        <v>13</v>
      </c>
      <c r="T32" s="18">
        <v>0</v>
      </c>
      <c r="W32" s="19">
        <v>0</v>
      </c>
      <c r="Y32">
        <v>0</v>
      </c>
      <c r="Z32">
        <v>0</v>
      </c>
      <c r="AB32" t="s">
        <v>20</v>
      </c>
      <c r="AC32">
        <v>19</v>
      </c>
    </row>
    <row r="33" spans="1:29" x14ac:dyDescent="0.25">
      <c r="A33">
        <v>134002551</v>
      </c>
      <c r="B33">
        <v>2031412250</v>
      </c>
      <c r="C33">
        <v>460</v>
      </c>
      <c r="E33" t="s">
        <v>10</v>
      </c>
      <c r="F33" t="s">
        <v>182</v>
      </c>
      <c r="G33">
        <v>4</v>
      </c>
      <c r="H33">
        <v>12</v>
      </c>
      <c r="I33">
        <v>0</v>
      </c>
      <c r="J33">
        <v>3</v>
      </c>
      <c r="K33" t="s">
        <v>109</v>
      </c>
      <c r="L33" s="18">
        <v>0.32103009259259258</v>
      </c>
      <c r="M33" t="s">
        <v>109</v>
      </c>
      <c r="N33" s="18">
        <v>0.44603009259259258</v>
      </c>
      <c r="O33" t="s">
        <v>40</v>
      </c>
      <c r="P33" t="s">
        <v>12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A33">
        <v>2</v>
      </c>
      <c r="AB33" t="s">
        <v>20</v>
      </c>
      <c r="AC33">
        <v>19</v>
      </c>
    </row>
    <row r="34" spans="1:29" x14ac:dyDescent="0.25">
      <c r="L34" s="18"/>
      <c r="N34" s="18"/>
      <c r="T34" s="18"/>
      <c r="W34" s="18"/>
    </row>
    <row r="35" spans="1:29" x14ac:dyDescent="0.25">
      <c r="L35" s="18"/>
      <c r="N35" s="18"/>
      <c r="T35" s="18"/>
      <c r="W35" s="18"/>
    </row>
    <row r="36" spans="1:29" x14ac:dyDescent="0.25">
      <c r="L36" s="18"/>
      <c r="N36" s="18"/>
      <c r="T36" s="18"/>
      <c r="W36" s="18"/>
    </row>
    <row r="37" spans="1:29" x14ac:dyDescent="0.25">
      <c r="L37" s="18"/>
      <c r="N37" s="18"/>
      <c r="T37" s="18"/>
      <c r="W37" s="18"/>
    </row>
    <row r="38" spans="1:29" x14ac:dyDescent="0.25">
      <c r="L38" s="18"/>
      <c r="N38" s="18"/>
      <c r="T38" s="18"/>
      <c r="W38" s="18"/>
    </row>
    <row r="39" spans="1:29" x14ac:dyDescent="0.25">
      <c r="L39" s="18"/>
      <c r="N39" s="18"/>
      <c r="T39" s="18"/>
      <c r="W39" s="18"/>
    </row>
    <row r="40" spans="1:29" x14ac:dyDescent="0.25">
      <c r="L40" s="18"/>
      <c r="N40" s="18"/>
      <c r="T40" s="18"/>
      <c r="W40" s="18"/>
    </row>
    <row r="41" spans="1:29" x14ac:dyDescent="0.25">
      <c r="L41" s="18"/>
      <c r="N41" s="18"/>
      <c r="T41" s="18"/>
      <c r="W41" s="18"/>
    </row>
    <row r="42" spans="1:29" x14ac:dyDescent="0.25">
      <c r="L42" s="18"/>
      <c r="N42" s="18"/>
      <c r="T42" s="18"/>
      <c r="W42" s="18"/>
    </row>
    <row r="43" spans="1:29" x14ac:dyDescent="0.25">
      <c r="L43" s="18"/>
      <c r="N43" s="18"/>
      <c r="T43" s="18"/>
      <c r="W43" s="18"/>
    </row>
    <row r="44" spans="1:29" x14ac:dyDescent="0.25">
      <c r="L44" s="18"/>
      <c r="N44" s="18"/>
      <c r="T44" s="18"/>
      <c r="W44" s="18"/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2025-12-19T14:28:59Z</dcterms:modified>
</cp:coreProperties>
</file>