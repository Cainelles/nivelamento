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66" documentId="14_{3AE44733-C139-4DCE-ACF7-7A76ECA3B1AC}" xr6:coauthVersionLast="47" xr6:coauthVersionMax="47" xr10:uidLastSave="{10DF605D-68B1-42B1-BACE-2B16AD6B87E6}"/>
  <bookViews>
    <workbookView xWindow="2730" yWindow="2730" windowWidth="21600" windowHeight="1129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4" l="1"/>
  <c r="H1" i="8"/>
  <c r="J43" i="4" s="1"/>
  <c r="H1" i="7"/>
  <c r="J32" i="4" s="1"/>
  <c r="H1" i="5"/>
  <c r="J42" i="4" s="1"/>
  <c r="H1" i="3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19" i="4"/>
  <c r="K20" i="4" l="1"/>
  <c r="K21" i="4"/>
  <c r="K42" i="4" s="1" a="1"/>
  <c r="K42" i="4" s="1"/>
  <c r="K31" i="4"/>
  <c r="J47" i="4" l="1"/>
  <c r="O45" i="4" s="1"/>
  <c r="J48" i="4"/>
  <c r="O46" i="4" s="1"/>
  <c r="O44" i="4"/>
  <c r="K52" i="4" l="1"/>
  <c r="K51" i="4"/>
  <c r="K4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<sst xmlns="http://schemas.openxmlformats.org/spreadsheetml/2006/main" count="2101" uniqueCount="293">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</sst>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0.61172638628611486</c:v>
                </c:pt>
                <c:pt idx="1">
                  <c:v>0.59367134098661245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0.61172638628611486</c:v>
                </c:pt>
                <c:pt idx="1">
                  <c:v>0.59367134098661245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topLeftCell="I22" zoomScale="85" zoomScaleNormal="85" workbookViewId="0">
      <selection activeCell="J31" sqref="J31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63" t="s">
        <v>9</v>
      </c>
      <c r="C2" s="64"/>
      <c r="D2" s="64"/>
      <c r="E2" s="64"/>
      <c r="F2" s="64"/>
      <c r="G2" s="65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3" t="s">
        <v>10</v>
      </c>
      <c r="C7" s="64"/>
      <c r="D7" s="64"/>
      <c r="E7" s="64"/>
      <c r="F7" s="64"/>
      <c r="G7" s="65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3" t="s">
        <v>11</v>
      </c>
      <c r="C12" s="64"/>
      <c r="D12" s="64"/>
      <c r="E12" s="64"/>
      <c r="F12" s="64"/>
      <c r="G12" s="65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6" t="s">
        <v>67</v>
      </c>
      <c r="C17" s="67"/>
      <c r="D17" s="68"/>
      <c r="E17" s="69" t="s">
        <v>68</v>
      </c>
      <c r="F17" s="70"/>
      <c r="G17" s="71"/>
    </row>
    <row r="18" spans="2:11" ht="15.75" thickBot="1" x14ac:dyDescent="0.3">
      <c r="B18" s="54" t="s">
        <v>9</v>
      </c>
      <c r="C18" s="55"/>
      <c r="D18" s="55"/>
      <c r="E18" s="55"/>
      <c r="F18" s="55"/>
      <c r="G18" s="56"/>
      <c r="I18" s="57" t="s">
        <v>9</v>
      </c>
      <c r="J18" s="58"/>
      <c r="K18" s="59"/>
    </row>
    <row r="19" spans="2:11" x14ac:dyDescent="0.25">
      <c r="B19" s="45"/>
      <c r="C19" s="46"/>
      <c r="D19" s="46"/>
      <c r="E19" s="46"/>
      <c r="F19" s="46"/>
      <c r="G19" s="47"/>
      <c r="I19" s="34" t="s">
        <v>89</v>
      </c>
      <c r="J19" s="33">
        <f>SUM(J20:J21)</f>
        <v>1348.6</v>
      </c>
      <c r="K19" s="35">
        <f>E4</f>
        <v>1.2053977272727272</v>
      </c>
    </row>
    <row r="20" spans="2:11" x14ac:dyDescent="0.25">
      <c r="B20" s="48"/>
      <c r="C20" s="49"/>
      <c r="D20" s="49"/>
      <c r="E20" s="49"/>
      <c r="F20" s="49"/>
      <c r="G20" s="50"/>
      <c r="I20" s="36" t="s">
        <v>87</v>
      </c>
      <c r="J20" s="32">
        <f>'AUSETU T.E'!H1</f>
        <v>684.4</v>
      </c>
      <c r="K20" s="37">
        <f>J20*K19/J19</f>
        <v>0.61172638628611486</v>
      </c>
    </row>
    <row r="21" spans="2:11" ht="15.75" thickBot="1" x14ac:dyDescent="0.3">
      <c r="B21" s="48"/>
      <c r="C21" s="49"/>
      <c r="D21" s="49"/>
      <c r="E21" s="49"/>
      <c r="F21" s="49"/>
      <c r="G21" s="50"/>
      <c r="I21" s="38" t="s">
        <v>88</v>
      </c>
      <c r="J21" s="39">
        <f>'AUSETU UT'!H1</f>
        <v>664.2</v>
      </c>
      <c r="K21" s="40">
        <f>J21*K19/J19</f>
        <v>0.59367134098661245</v>
      </c>
    </row>
    <row r="22" spans="2:11" x14ac:dyDescent="0.25">
      <c r="B22" s="48"/>
      <c r="C22" s="49"/>
      <c r="D22" s="49"/>
      <c r="E22" s="49"/>
      <c r="F22" s="49"/>
      <c r="G22" s="50"/>
    </row>
    <row r="23" spans="2:11" x14ac:dyDescent="0.25">
      <c r="B23" s="48"/>
      <c r="C23" s="49"/>
      <c r="D23" s="49"/>
      <c r="E23" s="49"/>
      <c r="F23" s="49"/>
      <c r="G23" s="50"/>
    </row>
    <row r="24" spans="2:11" x14ac:dyDescent="0.25">
      <c r="B24" s="48"/>
      <c r="C24" s="49"/>
      <c r="D24" s="49"/>
      <c r="E24" s="49"/>
      <c r="F24" s="49"/>
      <c r="G24" s="50"/>
    </row>
    <row r="25" spans="2:11" x14ac:dyDescent="0.25">
      <c r="B25" s="48"/>
      <c r="C25" s="49"/>
      <c r="D25" s="49"/>
      <c r="E25" s="49"/>
      <c r="F25" s="49"/>
      <c r="G25" s="50"/>
    </row>
    <row r="26" spans="2:11" x14ac:dyDescent="0.25">
      <c r="B26" s="48"/>
      <c r="C26" s="49"/>
      <c r="D26" s="49"/>
      <c r="E26" s="49"/>
      <c r="F26" s="49"/>
      <c r="G26" s="50"/>
    </row>
    <row r="27" spans="2:11" x14ac:dyDescent="0.25">
      <c r="B27" s="48"/>
      <c r="C27" s="49"/>
      <c r="D27" s="49"/>
      <c r="E27" s="49"/>
      <c r="F27" s="49"/>
      <c r="G27" s="50"/>
    </row>
    <row r="28" spans="2:11" ht="15.75" thickBot="1" x14ac:dyDescent="0.3">
      <c r="B28" s="60"/>
      <c r="C28" s="61"/>
      <c r="D28" s="61"/>
      <c r="E28" s="61"/>
      <c r="F28" s="61"/>
      <c r="G28" s="62"/>
    </row>
    <row r="29" spans="2:11" ht="15.75" thickBot="1" x14ac:dyDescent="0.3">
      <c r="B29" s="54" t="s">
        <v>10</v>
      </c>
      <c r="C29" s="55"/>
      <c r="D29" s="55"/>
      <c r="E29" s="55"/>
      <c r="F29" s="55"/>
      <c r="G29" s="56"/>
      <c r="I29" s="57" t="s">
        <v>10</v>
      </c>
      <c r="J29" s="58"/>
      <c r="K29" s="59"/>
    </row>
    <row r="30" spans="2:11" x14ac:dyDescent="0.25">
      <c r="B30" s="45"/>
      <c r="C30" s="46"/>
      <c r="D30" s="46"/>
      <c r="E30" s="46"/>
      <c r="F30" s="46"/>
      <c r="G30" s="47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48"/>
      <c r="C31" s="49"/>
      <c r="D31" s="49"/>
      <c r="E31" s="49"/>
      <c r="F31" s="49"/>
      <c r="G31" s="50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48"/>
      <c r="C32" s="49"/>
      <c r="D32" s="49"/>
      <c r="E32" s="49"/>
      <c r="F32" s="49"/>
      <c r="G32" s="50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48"/>
      <c r="C33" s="49"/>
      <c r="D33" s="49"/>
      <c r="E33" s="49"/>
      <c r="F33" s="49"/>
      <c r="G33" s="50"/>
    </row>
    <row r="34" spans="2:15" x14ac:dyDescent="0.25">
      <c r="B34" s="48"/>
      <c r="C34" s="49"/>
      <c r="D34" s="49"/>
      <c r="E34" s="49"/>
      <c r="F34" s="49"/>
      <c r="G34" s="50"/>
    </row>
    <row r="35" spans="2:15" x14ac:dyDescent="0.25">
      <c r="B35" s="48"/>
      <c r="C35" s="49"/>
      <c r="D35" s="49"/>
      <c r="E35" s="49"/>
      <c r="F35" s="49"/>
      <c r="G35" s="50"/>
    </row>
    <row r="36" spans="2:15" x14ac:dyDescent="0.25">
      <c r="B36" s="48"/>
      <c r="C36" s="49"/>
      <c r="D36" s="49"/>
      <c r="E36" s="49"/>
      <c r="F36" s="49"/>
      <c r="G36" s="50"/>
    </row>
    <row r="37" spans="2:15" x14ac:dyDescent="0.25">
      <c r="B37" s="48"/>
      <c r="C37" s="49"/>
      <c r="D37" s="49"/>
      <c r="E37" s="49"/>
      <c r="F37" s="49"/>
      <c r="G37" s="50"/>
    </row>
    <row r="38" spans="2:15" x14ac:dyDescent="0.25">
      <c r="B38" s="48"/>
      <c r="C38" s="49"/>
      <c r="D38" s="49"/>
      <c r="E38" s="49"/>
      <c r="F38" s="49"/>
      <c r="G38" s="50"/>
    </row>
    <row r="39" spans="2:15" ht="15.75" thickBot="1" x14ac:dyDescent="0.3">
      <c r="B39" s="60"/>
      <c r="C39" s="61"/>
      <c r="D39" s="61"/>
      <c r="E39" s="61"/>
      <c r="F39" s="61"/>
      <c r="G39" s="62"/>
    </row>
    <row r="40" spans="2:15" ht="15.75" thickBot="1" x14ac:dyDescent="0.3">
      <c r="B40" s="54" t="s">
        <v>11</v>
      </c>
      <c r="C40" s="55"/>
      <c r="D40" s="55"/>
      <c r="E40" s="55"/>
      <c r="F40" s="55"/>
      <c r="G40" s="56"/>
      <c r="I40" s="57" t="s">
        <v>11</v>
      </c>
      <c r="J40" s="58"/>
      <c r="K40" s="59"/>
    </row>
    <row r="41" spans="2:15" x14ac:dyDescent="0.25">
      <c r="B41" s="45"/>
      <c r="C41" s="46"/>
      <c r="D41" s="46"/>
      <c r="E41" s="46"/>
      <c r="F41" s="46"/>
      <c r="G41" s="47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48"/>
      <c r="C42" s="49"/>
      <c r="D42" s="49"/>
      <c r="E42" s="49"/>
      <c r="F42" s="49"/>
      <c r="G42" s="50"/>
      <c r="I42" s="36" t="s">
        <v>87</v>
      </c>
      <c r="J42" s="32">
        <f>'MANDTU T.E'!H1</f>
        <v>372</v>
      </c>
      <c r="K42" s="37" cm="1">
        <f t="array" ref="K42:K43">K20:K21</f>
        <v>0.61172638628611486</v>
      </c>
    </row>
    <row r="43" spans="2:15" ht="15.75" thickBot="1" x14ac:dyDescent="0.3">
      <c r="B43" s="48"/>
      <c r="C43" s="49"/>
      <c r="D43" s="49"/>
      <c r="E43" s="49"/>
      <c r="F43" s="49"/>
      <c r="G43" s="50"/>
      <c r="I43" s="38" t="s">
        <v>88</v>
      </c>
      <c r="J43" s="39">
        <f>'MANDTU UT'!H1</f>
        <v>700.2</v>
      </c>
      <c r="K43" s="40">
        <v>0.59367134098661245</v>
      </c>
    </row>
    <row r="44" spans="2:15" x14ac:dyDescent="0.25">
      <c r="B44" s="48"/>
      <c r="C44" s="49"/>
      <c r="D44" s="49"/>
      <c r="E44" s="49"/>
      <c r="F44" s="49"/>
      <c r="G44" s="50"/>
      <c r="N44">
        <v>100</v>
      </c>
      <c r="O44" s="42">
        <f>SUM(J47+J48)</f>
        <v>1.5012995379046286</v>
      </c>
    </row>
    <row r="45" spans="2:15" ht="15.75" thickBot="1" x14ac:dyDescent="0.3">
      <c r="B45" s="48"/>
      <c r="C45" s="49"/>
      <c r="D45" s="49"/>
      <c r="E45" s="49"/>
      <c r="F45" s="49"/>
      <c r="G45" s="50"/>
      <c r="N45" t="s">
        <v>56</v>
      </c>
      <c r="O45" s="43">
        <f>J47*N44</f>
        <v>75.93254830847259</v>
      </c>
    </row>
    <row r="46" spans="2:15" ht="15.75" thickBot="1" x14ac:dyDescent="0.3">
      <c r="B46" s="48"/>
      <c r="C46" s="49"/>
      <c r="D46" s="49"/>
      <c r="E46" s="49"/>
      <c r="F46" s="49"/>
      <c r="G46" s="50"/>
      <c r="I46" s="57" t="s">
        <v>89</v>
      </c>
      <c r="J46" s="58"/>
      <c r="K46" s="59"/>
      <c r="O46" s="43">
        <f>J48*N44</f>
        <v>74.197405481990259</v>
      </c>
    </row>
    <row r="47" spans="2:15" x14ac:dyDescent="0.25">
      <c r="B47" s="48"/>
      <c r="C47" s="49"/>
      <c r="D47" s="49"/>
      <c r="E47" s="49"/>
      <c r="F47" s="49"/>
      <c r="G47" s="50"/>
      <c r="I47" s="36" t="s">
        <v>87</v>
      </c>
      <c r="J47" s="42">
        <f>SUM(K19+K31+K42)/3</f>
        <v>0.75932548308472592</v>
      </c>
      <c r="K47" s="1">
        <f>K51</f>
        <v>0.50577880290599464</v>
      </c>
    </row>
    <row r="48" spans="2:15" ht="15.75" thickBot="1" x14ac:dyDescent="0.3">
      <c r="B48" s="48"/>
      <c r="C48" s="49"/>
      <c r="D48" s="49"/>
      <c r="E48" s="49"/>
      <c r="F48" s="49"/>
      <c r="G48" s="50"/>
      <c r="I48" s="38" t="s">
        <v>88</v>
      </c>
      <c r="J48" s="42">
        <f>SUM(K21+K32+K43)/3</f>
        <v>0.74197405481990264</v>
      </c>
    </row>
    <row r="49" spans="2:14" ht="15.75" thickBot="1" x14ac:dyDescent="0.3">
      <c r="B49" s="48"/>
      <c r="C49" s="49"/>
      <c r="D49" s="49"/>
      <c r="E49" s="49"/>
      <c r="F49" s="49"/>
      <c r="G49" s="50"/>
    </row>
    <row r="50" spans="2:14" ht="15.75" thickBot="1" x14ac:dyDescent="0.3">
      <c r="B50" s="51"/>
      <c r="C50" s="52"/>
      <c r="D50" s="52"/>
      <c r="E50" s="52"/>
      <c r="F50" s="52"/>
      <c r="G50" s="53"/>
      <c r="I50" s="57" t="s">
        <v>89</v>
      </c>
      <c r="J50" s="58"/>
      <c r="K50" s="59"/>
      <c r="N50" s="42"/>
    </row>
    <row r="51" spans="2:14" x14ac:dyDescent="0.25">
      <c r="I51" s="36" t="s">
        <v>87</v>
      </c>
      <c r="K51" s="44">
        <f>O45/O44/100</f>
        <v>0.50577880290599464</v>
      </c>
    </row>
    <row r="52" spans="2:14" ht="15.75" thickBot="1" x14ac:dyDescent="0.3">
      <c r="I52" s="38" t="s">
        <v>88</v>
      </c>
      <c r="K52" s="44">
        <f>O46/O44/100</f>
        <v>0.49422119709400536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3"/>
  <sheetViews>
    <sheetView topLeftCell="A3" workbookViewId="0">
      <selection activeCell="F27" sqref="F27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  <row r="23" spans="1:29" x14ac:dyDescent="0.25">
      <c r="H23">
        <v>500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57"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2025-12-03T17:38:51Z</dcterms:modified>
</cp:coreProperties>
</file>