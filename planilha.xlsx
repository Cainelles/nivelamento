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167" documentId="14_{3AE44733-C139-4DCE-ACF7-7A76ECA3B1AC}" xr6:coauthVersionLast="47" xr6:coauthVersionMax="47" xr10:uidLastSave="{FE375DB8-5CE6-44BC-9B53-AEA98CE57081}"/>
  <bookViews>
    <workbookView xWindow="-105" yWindow="0" windowWidth="9810" windowHeight="15585" tabRatio="1000" activeTab="1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4" l="1"/>
  <c r="H1" i="8"/>
  <c r="J43" i="4" s="1"/>
  <c r="H1" i="7"/>
  <c r="J32" i="4" s="1"/>
  <c r="H1" i="5"/>
  <c r="J42" i="4" s="1"/>
  <c r="H1" i="3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K32" i="4" s="1"/>
  <c r="J19" i="4"/>
  <c r="K20" i="4" l="1"/>
  <c r="K21" i="4"/>
  <c r="K42" i="4" s="1" a="1"/>
  <c r="K42" i="4" s="1"/>
  <c r="K31" i="4"/>
  <c r="J47" i="4" l="1"/>
  <c r="O45" i="4" s="1"/>
  <c r="J48" i="4"/>
  <c r="O46" i="4" s="1"/>
  <c r="O44" i="4" l="1"/>
  <c r="K52" i="4"/>
  <c r="K51" i="4"/>
  <c r="K4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<sst xmlns="http://schemas.openxmlformats.org/spreadsheetml/2006/main" count="2101" uniqueCount="293">
  <si>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</si>
  <si>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</si>
  <si>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</si>
  <si>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</si>
  <si>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</si>
  <si>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</si>
  <si>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</si>
  <si>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</si>
  <si>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49.2025</t>
  </si>
  <si>
    <t>AUSETU</t>
  </si>
  <si>
    <t>CALDTU</t>
  </si>
  <si>
    <t>MANDTU</t>
  </si>
  <si>
    <t>TQ-4113: Quebrar concreto caixa de válvu</t>
  </si>
  <si>
    <t>01.12.2025</t>
  </si>
  <si>
    <t>NDEL</t>
  </si>
  <si>
    <t>IMPR LIB  PLAN</t>
  </si>
  <si>
    <t>ZM01</t>
  </si>
  <si>
    <t>TQ-4726: Quebrar concreto caixa de válvu</t>
  </si>
  <si>
    <t>03.12.2025</t>
  </si>
  <si>
    <t>04.12.2025</t>
  </si>
  <si>
    <t>LIB  PLAN</t>
  </si>
  <si>
    <t>02.12.2025</t>
  </si>
  <si>
    <t>TQ-4113-Anexar relatório PRCO</t>
  </si>
  <si>
    <t>NDEL EVCO EXCO</t>
  </si>
  <si>
    <t>TQ-4108: Apoio inst. corrimão</t>
  </si>
  <si>
    <t>JBFI LIB  PLAN PWF</t>
  </si>
  <si>
    <t>TQ-4108:Fazer base concreto/inst corrimã</t>
  </si>
  <si>
    <t>TE - CO1 - Limpeza Area e  Pq Bomba</t>
  </si>
  <si>
    <t>NDEL CO03</t>
  </si>
  <si>
    <t>TE - CO2 - Limpeza Area e  Pq Bomba</t>
  </si>
  <si>
    <t>TE- CO5- Limpeza Area e Pq Bomb, pisMLD</t>
  </si>
  <si>
    <t>TUBOVIA NORTE TQ-4720:PRCO Anexar relat</t>
  </si>
  <si>
    <t>V-73101: Dessasorear piso para inst guar</t>
  </si>
  <si>
    <t>05.12.2025</t>
  </si>
  <si>
    <t>UTDI - Limpar grades/Filtros/Rolo BP/API</t>
  </si>
  <si>
    <t>UTDI /TE:Apoio carreg/desc.produtos qu.</t>
  </si>
  <si>
    <t>NDEL CO01 EVCO</t>
  </si>
  <si>
    <t>NÃO SE APLICA</t>
  </si>
  <si>
    <t>V-6345D: Vigia espaço confinado</t>
  </si>
  <si>
    <t>V-6345D: Montar recheio do cesto</t>
  </si>
  <si>
    <t>$limp-ISO-612-AR PLQ 1124:Real limp/desa</t>
  </si>
  <si>
    <t>CBRJ - Remover mangote para descarte</t>
  </si>
  <si>
    <t>CBRJ - Fechar BV de acesso após limpeza</t>
  </si>
  <si>
    <t>U-620(UTDI):Acompanhame.transferên.DIA</t>
  </si>
  <si>
    <t>V-6207:Jatear/prep.pint. interna (sema 2</t>
  </si>
  <si>
    <t>V-6207: Vigia p/ esp.confinado (semana 2</t>
  </si>
  <si>
    <t>FT6205: subst. elem. filtrantes se neces</t>
  </si>
  <si>
    <t>CAFOR:Limp.de piso de área  1ª semana</t>
  </si>
  <si>
    <t>ETA:Apoio transf.prod.químico 1ªsemana</t>
  </si>
  <si>
    <t>P-6349B Instalar mangueira Resf.</t>
  </si>
  <si>
    <t>P-6349B Realizar limpeza</t>
  </si>
  <si>
    <t>NDEL CO03 EVCO</t>
  </si>
  <si>
    <t>TG-6351A-Limpeza do compartimento da</t>
  </si>
  <si>
    <t>GV-2201- Transp.  material p/ area 1 sem</t>
  </si>
  <si>
    <t>GV-2201- Prep solução real dosagem 1 sem</t>
  </si>
  <si>
    <t>ETA:Limpeza das grades canal captação 4º</t>
  </si>
  <si>
    <t>X</t>
  </si>
  <si>
    <t>ETA:Limpeza de piso de área 1ª semana</t>
  </si>
  <si>
    <t>ETA:Limpeza das grades canal captação 1º</t>
  </si>
  <si>
    <t>ETA:Limp.piso e grade TR-6122/51 1ªsem.</t>
  </si>
  <si>
    <t>G-6351A: Limp.intern compart./inter.casu</t>
  </si>
  <si>
    <t>G-6351A: Emitir relatório PRCO</t>
  </si>
  <si>
    <t>TQ-4112: Acompanhar drenagem do TQ</t>
  </si>
  <si>
    <t>B-7455:Limpeza do mangote de sucção.</t>
  </si>
  <si>
    <t>FT-6201E Fazer limpeza do piso pos rem c</t>
  </si>
  <si>
    <t>TG-6351ATransp. Cilindros Cafor/SMS</t>
  </si>
  <si>
    <t>P-6349A Realizar limpeza</t>
  </si>
  <si>
    <t>TRANSFERENCIA E ESTOCAGEM</t>
  </si>
  <si>
    <t>UTILIDADES</t>
  </si>
  <si>
    <t>SC-7401 Lavar centrifuga</t>
  </si>
  <si>
    <t>B-7455- Afogar mangote</t>
  </si>
  <si>
    <t>B-7420:Limpeza do mangote de sucção.</t>
  </si>
  <si>
    <t>B-7420: Afogar mangote</t>
  </si>
  <si>
    <t>B-7426-Limpeza do mangote de sucção.</t>
  </si>
  <si>
    <t>B-7426- Afogar Mangote</t>
  </si>
  <si>
    <t>GV-2201 Isolar área p/amostragem de gase</t>
  </si>
  <si>
    <t>GV-2201Remov.isolamento de área após am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</si>
  <si>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</si>
  <si>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</si>
  <si>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</si>
  <si>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</si>
  <si>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</si>
  <si>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</si>
  <si>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</si>
  <si>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</si>
  <si>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</si>
  <si>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</si>
  <si>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</si>
  <si>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</si>
  <si>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</si>
  <si>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SC-7401/Polímero_D.andaime ponto 01</t>
  </si>
  <si>
    <t>NDEL CO01</t>
  </si>
  <si>
    <t>HV-45065_D.A de acesso atuador</t>
  </si>
  <si>
    <t>HV-45064_M.A para acesso ao atuador</t>
  </si>
  <si>
    <t>HV-45072_D.A de acesso ao atuador</t>
  </si>
  <si>
    <t>HV-45083_M.A para acesso ao atuador</t>
  </si>
  <si>
    <t>HV-40581 D.A para acesso atuador</t>
  </si>
  <si>
    <t>P-4102: Adeq And p/ sacar feixe/ trav Bo</t>
  </si>
  <si>
    <t>CNPA LIB  PLAN</t>
  </si>
  <si>
    <t>TUBOVIA NORTE TQ-4720: Desmontar andaime</t>
  </si>
  <si>
    <t>V-73101: Montar barraca de confinamento</t>
  </si>
  <si>
    <t>B-4014: Adequar andaime</t>
  </si>
  <si>
    <t>$MAND_MHV-40793_Montar acesso</t>
  </si>
  <si>
    <t>$MAND_PSV-4054:Mand tub.LB U200A foto an</t>
  </si>
  <si>
    <t>$MAND_PSV-40183:MA.p/remov.PSV TQ-4310</t>
  </si>
  <si>
    <t>$MANDPSV-40238: Desmont.And.de acesso</t>
  </si>
  <si>
    <t>$MAND FT-40422 M.A. p aplicação do LIBRA</t>
  </si>
  <si>
    <t>$MAND TWIN SEAL 61: Desmontar andaime</t>
  </si>
  <si>
    <t>$MAND B-4901C: Montar andaime acesso</t>
  </si>
  <si>
    <t>$MAND FT-4002A: Montar andaime acesso</t>
  </si>
  <si>
    <t>$MAND B-7425-D.A. barraca/pau carga/esco</t>
  </si>
  <si>
    <t>$MAND B-7425- Montar baraca de confiname</t>
  </si>
  <si>
    <t>$MAND B-7425-Desmont barraca conf</t>
  </si>
  <si>
    <t>FT-40141 Desmotar acesso</t>
  </si>
  <si>
    <t>$MAND TQ-4120:Desmontar andaimes</t>
  </si>
  <si>
    <t>B-7455: Montar andaime de acesso</t>
  </si>
  <si>
    <t>B-7455- Desmontar andaime de acesso</t>
  </si>
  <si>
    <t>B-7420: Montar andaime de acesso</t>
  </si>
  <si>
    <t>B-7420: Desmontar andaime de acesso</t>
  </si>
  <si>
    <t>B-7426-Montar andaime de acesso</t>
  </si>
  <si>
    <t>B-7426- Desmontar andaimde de acesso</t>
  </si>
  <si>
    <t>FT-6201E Emitir relatório PRCO</t>
  </si>
  <si>
    <t>S-6302A:Fechar bocal inferior p/ carreg</t>
  </si>
  <si>
    <t>CBRJ -AP.Caldeiraria p/limp do poç 1°sem</t>
  </si>
  <si>
    <t>TV-63201B_Remover TV / flangear a cego</t>
  </si>
  <si>
    <t>TG-6351A:Desconecar  Cilindros CO2</t>
  </si>
  <si>
    <t>TG-6351A:Conecatr  Cilindros CO2 TG</t>
  </si>
  <si>
    <t>TG-6351A:Emitir relatório PRCO</t>
  </si>
  <si>
    <t>GV-22501:Emitir relatório PRCO</t>
  </si>
  <si>
    <t>BL-6201A:Subst.Cilindro de Cloro 3ª sem.</t>
  </si>
  <si>
    <t>MB-6211_Adequar sucção da bomba (PVC)</t>
  </si>
  <si>
    <t>PSV-63087(B6302F): Rem.PSV/Flg.cego</t>
  </si>
  <si>
    <t>PSV-63087(B6302F): Rem.Flg.cego/PSV</t>
  </si>
  <si>
    <t>P-6349A/B:Remover válvula 3 vias</t>
  </si>
  <si>
    <t>NDEL EVCO</t>
  </si>
  <si>
    <t>P-6349A/B:Instalar válvula 3 vias</t>
  </si>
  <si>
    <t>P-6349A Instalar mangueira Resf.</t>
  </si>
  <si>
    <t>P-6349A Abrir tampa do carretel</t>
  </si>
  <si>
    <t>P-6349A Fechar tampa do carretel</t>
  </si>
  <si>
    <t>P-6349A/B:Cortar linha de AR</t>
  </si>
  <si>
    <t>P-6349A/B:Desobstruir linha de AR</t>
  </si>
  <si>
    <t>P-6349A/B:Fabr.spool na ofic.conf. croqu</t>
  </si>
  <si>
    <t>P-6349A:Cortar linha de AR/prep bisel</t>
  </si>
  <si>
    <t>P-6349A/B:Intalar flange na linha de AR</t>
  </si>
  <si>
    <t>P-6349A/B:Emitir relatório PRCO</t>
  </si>
  <si>
    <t>TQ-6216:fab.linha pac fase 4 ent tanques</t>
  </si>
  <si>
    <t>TQ-6216: Fabr.sup.p/linha d pac succão 2</t>
  </si>
  <si>
    <t>TQ-6216:Inst. vent na linha sucção fase2</t>
  </si>
  <si>
    <t>TQ-6216:PAC Emitir relatório PRCO</t>
  </si>
  <si>
    <t>B-6129A/B-Conec/Desc. mang ácido 4ª sem.</t>
  </si>
  <si>
    <t>U-620 CJ-C: (PRCO) Guarda-corpo FT-6210B</t>
  </si>
  <si>
    <t>PSV-63253A Dimencionar linha vap p fabri</t>
  </si>
  <si>
    <t>P-6349B Abrir tampa do carretel</t>
  </si>
  <si>
    <t>P-6349B Fechar tampa do carretel</t>
  </si>
  <si>
    <t>P-6349B Emitir relatório PRCO</t>
  </si>
  <si>
    <t>B-6301F Substiruir Bloqueio 3/4"</t>
  </si>
  <si>
    <t>B-6201B:Desconetar linha suc/desc</t>
  </si>
  <si>
    <t>B-6201BC:Flangear a cego cuc/desc</t>
  </si>
  <si>
    <t>B-6201B:Cortar linhas suc/ descarga</t>
  </si>
  <si>
    <t>B-6201B: Reconec.Torquear sucção/ descar</t>
  </si>
  <si>
    <t>B-6201B:(PRCO)Emitir relatorio conc</t>
  </si>
  <si>
    <t>FT-6202: limpeza preventiva1ºsem</t>
  </si>
  <si>
    <t>B-6304 Rem.CAP/Inst.Mangueira nova p/lav</t>
  </si>
  <si>
    <t>B-6304 Emitir relatório PRCO</t>
  </si>
  <si>
    <t>B-6129A/B-Conec/Desc. mang ácido 1ª sem.</t>
  </si>
  <si>
    <t>XV-62300_Remover XV (não flangear cego)</t>
  </si>
  <si>
    <t>PSV-63550 Remover e capear tubulação</t>
  </si>
  <si>
    <t>A-6206: Emitir relatorio PRCO</t>
  </si>
  <si>
    <t>ZM05</t>
  </si>
  <si>
    <t>P-6302B Concluir Raquet linhas entr/saíd</t>
  </si>
  <si>
    <t>P-6302B Soltar Linhas/Flangear Cego</t>
  </si>
  <si>
    <t>P-6302B Remover Bloqueio Dreno</t>
  </si>
  <si>
    <t>P-6302B Remover Tampa</t>
  </si>
  <si>
    <t>P-6302B Remover Carretel/Feixe</t>
  </si>
  <si>
    <t>RA-GV-6304-01_Desconectar/remover linha</t>
  </si>
  <si>
    <t>RA-GV-6304-01_Transportar p/ oficina</t>
  </si>
  <si>
    <t>RA-GV-6304-01_Confeccionar rosca 1/2</t>
  </si>
  <si>
    <t>RA-GV-6304-02_Desconectar/remover linha</t>
  </si>
  <si>
    <t>RA-GV-6304-02_Transportar p/ oficina</t>
  </si>
  <si>
    <t>RA-GV-6304-02_Confeccionar rosca 1/2</t>
  </si>
  <si>
    <t>RA-GV-6304-03_Desconectar/remover linha</t>
  </si>
  <si>
    <t>RA-GV-6304-03_Transportar p/ oficina</t>
  </si>
  <si>
    <t>RA-GV-6304-03_Confeccionar rosca 1/2</t>
  </si>
  <si>
    <t>B-6203B: Emitir relatório PRCO</t>
  </si>
  <si>
    <t>GV-2201Abrir Flanges p/amostragem de ga</t>
  </si>
  <si>
    <t>GV-2201Fechar Flange após amostragem de</t>
  </si>
  <si>
    <t>GV-2201Emitir relatório PRCO</t>
  </si>
  <si>
    <t>TG-6301A (PRCO)Limpar filtro TQ-6321A</t>
  </si>
  <si>
    <t>SP-6202B Preparar pont.no vaso p/ ins.ME</t>
  </si>
  <si>
    <t>B-6214 Rem.linha de sucção flangear/cego</t>
  </si>
  <si>
    <t>B-6214 Remover válvula de retenç p repar</t>
  </si>
  <si>
    <t>B-6214 Transportar válvula de suc.p/ofic</t>
  </si>
  <si>
    <t>B-6214Tranp.válv. de retenç oficinaxárea</t>
  </si>
  <si>
    <t>B-6214 Reinst.válvula de retenção</t>
  </si>
  <si>
    <t>B-6214 Rem.flang/cego e inst.linha d suc</t>
  </si>
  <si>
    <t>B-6214 D.A. após Inst.d valv.e linha suc</t>
  </si>
  <si>
    <t>B-6214 Emitir relatório PRCO</t>
  </si>
  <si>
    <t>P-6348A:Remover válvula 3 vias</t>
  </si>
  <si>
    <t>P-6348A:Instalar válvula 3 vias</t>
  </si>
  <si>
    <t>P-6348A/B:Fabr.spool na ofic.conf. croqu</t>
  </si>
  <si>
    <t>P-6348A:Cortar linha de AR</t>
  </si>
  <si>
    <t>P-6348A:Desobstruir linha de AR</t>
  </si>
  <si>
    <t>P-6348A:Cortar linha de AR/prep bisel</t>
  </si>
  <si>
    <t>P-6348A/B:Intalar flange na linha de AR</t>
  </si>
  <si>
    <t>09.12.2025</t>
  </si>
  <si>
    <t>FT-6201E D.A após limpeza limpeza</t>
  </si>
  <si>
    <t>XV-22603_Montar bancada e pau de carga</t>
  </si>
  <si>
    <t>SE-200_M. Andaime estrutura lado sul</t>
  </si>
  <si>
    <t>XV-22602_Montar bancada e pau de carga</t>
  </si>
  <si>
    <t>CBRJ -Ap.andaime p/limp do poç 1ºsemana</t>
  </si>
  <si>
    <t>V-6345B:D.and.após pintura</t>
  </si>
  <si>
    <t>LSLL-22571_Revisar montagem de andaime</t>
  </si>
  <si>
    <t>$PSV-63086(B6302F):M.banc.p/remov.PSV</t>
  </si>
  <si>
    <t>TR-6122:Emitir relatório PRCO</t>
  </si>
  <si>
    <t>NDEL CO01 EVCO EXCO</t>
  </si>
  <si>
    <t>P-6349A:M.and.p/aplicar LIBRA</t>
  </si>
  <si>
    <t>P-6348A:M.A. barraca p/confinamento</t>
  </si>
  <si>
    <t>P-6349A/B:M.pau carga/confinamento</t>
  </si>
  <si>
    <t>P-6349A/B:D.pau carga/confinamento</t>
  </si>
  <si>
    <t>$MAND P-6349A:D.A. após concluir monta</t>
  </si>
  <si>
    <t>TQ-6216:M.A.barraca conf/D.A.linha fase2</t>
  </si>
  <si>
    <t>$MAND_XV-62041_Desmontar pau carga</t>
  </si>
  <si>
    <t>$XV-62041_Desmont. bancada de acesso</t>
  </si>
  <si>
    <t>$MAND_MM-6201_Montar acesso</t>
  </si>
  <si>
    <t>$MAND_MM-6201_Desmontar acesso</t>
  </si>
  <si>
    <t>U-620_M. and entre V-6203E/04E</t>
  </si>
  <si>
    <t>U-612A_D.A. Apoio para iluminação</t>
  </si>
  <si>
    <t>PI-63053D_Montar andaime/acesso</t>
  </si>
  <si>
    <t>U-631/2º Piso Sala Gis M. and PT 01</t>
  </si>
  <si>
    <t>U-631/2º Piso Sala Gis M. and PT 02</t>
  </si>
  <si>
    <t>TG-6351A-M.A. plataf  bancada aces. mono</t>
  </si>
  <si>
    <t>TG-6351A-D.A. plataf  bancada aces. mono</t>
  </si>
  <si>
    <t>TG-6351A-M.A.acesso damper casulo</t>
  </si>
  <si>
    <t>TG-6351A-D.A.acesso damper casulo</t>
  </si>
  <si>
    <t>TG-6351A-M.A.platafroma p/ lubrificação</t>
  </si>
  <si>
    <t>TG-6351A-D.A. após manut. lubrificação</t>
  </si>
  <si>
    <t>THI-63305E_Montar andaime de acesso</t>
  </si>
  <si>
    <t>LV-63806_Montar prataforma em volta da v</t>
  </si>
  <si>
    <t>LV-63806_Içar caçamba andaime</t>
  </si>
  <si>
    <t>LV-63806_Montar pau de carga</t>
  </si>
  <si>
    <t>CDI-4801 D. ANDAIME REVISAR AUTOMATISMO</t>
  </si>
  <si>
    <t>B-6201B: D.A de acesso</t>
  </si>
  <si>
    <t>SF-22505G M.A. de acesso</t>
  </si>
  <si>
    <t>SF-22505G Subir materiais</t>
  </si>
  <si>
    <t>08.12.2025</t>
  </si>
  <si>
    <t>SF-22505G Descer materiais</t>
  </si>
  <si>
    <t>SF-22505G D.A. de acesso</t>
  </si>
  <si>
    <t>SP-6202B M.A. p/ preparo p/ inspeção</t>
  </si>
  <si>
    <t>B-6214 M.A p/ remover válv.de sucção</t>
  </si>
  <si>
    <t>P-6348A:M.and.p/aplicar LIBRA</t>
  </si>
  <si>
    <t>P-6348A/B: M.conf.p/cortar e soldar linh</t>
  </si>
  <si>
    <t xml:space="preserve"> </t>
  </si>
  <si>
    <t>FT-40152_Remover Spool/flangear cego</t>
  </si>
  <si>
    <t>FT-40152_Ajustar spool em oficina</t>
  </si>
  <si>
    <t>FT-40152_Remover flange cego/Inst Spool</t>
  </si>
  <si>
    <t>SUL TQ-4113:Remover bloqueio velho</t>
  </si>
  <si>
    <t>SUL TQ-4113:Instalar bloqueio/anel espaç</t>
  </si>
  <si>
    <t>IMPR LIB  PLAN SOCO</t>
  </si>
  <si>
    <t>TQ-4726:Substituir Válv de drenagem</t>
  </si>
  <si>
    <t>$MANG TQ-4004: Testar mangotes</t>
  </si>
  <si>
    <t>TQ-4004: Dimensionar dispositivo(carrete</t>
  </si>
  <si>
    <t>TQ-4004: Fabricar carretal 3''x2''</t>
  </si>
  <si>
    <t>P-4102: Remover carretel</t>
  </si>
  <si>
    <t>P-4102: Remover boleado</t>
  </si>
  <si>
    <t>P-4102: Desmontar componentes</t>
  </si>
  <si>
    <t>P-4102: Sacar feixe do Permutador</t>
  </si>
  <si>
    <t>V-73101: Posicionar guarda corpo</t>
  </si>
  <si>
    <t>V-73101: Instalar guarda corpo</t>
  </si>
  <si>
    <t>VG-M-01 Substituir válvula Transpetro</t>
  </si>
  <si>
    <t>PSV-4957-Remover PSV/Instalar capP-4901A</t>
  </si>
  <si>
    <t>PSV-4957-Remover cap/Instal.PSV P-4901A</t>
  </si>
  <si>
    <t>PSV-49062-Remover PSV/Instalar cap PIG</t>
  </si>
  <si>
    <t>PSV-49062-Remover cap/Instal.PSV PIG</t>
  </si>
  <si>
    <t>PSV-4054:Remov.PSV tub.LB U200A foto ane</t>
  </si>
  <si>
    <t>PSV-4054:Instv.PSV tub.LB U200A foto ane</t>
  </si>
  <si>
    <t>PSV-40238: Remover Flange/Instalar PSV</t>
  </si>
  <si>
    <t>V-4010A:Raqueteamento linhas do vaso</t>
  </si>
  <si>
    <t>$ISOL B-4901C: Realiz torque no castelo</t>
  </si>
  <si>
    <t>NDEL CA02</t>
  </si>
  <si>
    <t>FT-4002A: Abrir Filtro</t>
  </si>
  <si>
    <t>FT-4002A: Realizar Limpeza</t>
  </si>
  <si>
    <t>FT-4002A:Fechar filtro após limpeza</t>
  </si>
  <si>
    <t>B-7425- Adequar suporte da linha</t>
  </si>
  <si>
    <t>TQ-4120: Aber. BV para verific Nivel</t>
  </si>
  <si>
    <t>B-7455:Remover mangote de sucção p/limpe</t>
  </si>
  <si>
    <t>B-7455:Intalar mangote de sucção após a</t>
  </si>
  <si>
    <t>B-7455- PRCO Anexar relatório</t>
  </si>
  <si>
    <t>B-7420:Remover mangote de sucção p/limpe</t>
  </si>
  <si>
    <t>B-7420:Intalar mangote de sucção após a</t>
  </si>
  <si>
    <t>B-7420- PRCO Anexar relatório</t>
  </si>
  <si>
    <t>B-7426-Remover mangote de sucção p/limpe</t>
  </si>
  <si>
    <t>B-7426-Intalar mangote de sucção após a</t>
  </si>
  <si>
    <t>B-7426- PRCO Anexar relatório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</si>
</sst>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0.26193181818181815</c:v>
                </c:pt>
                <c:pt idx="1">
                  <c:v>0.94346590909090911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0.46085233569533535</c:v>
                </c:pt>
                <c:pt idx="1">
                  <c:v>1.0385794824864829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0.26193181818181815</c:v>
                </c:pt>
                <c:pt idx="1">
                  <c:v>0.94346590909090911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opLeftCell="I22" zoomScale="85" zoomScaleNormal="85" workbookViewId="0">
      <selection activeCell="O32" sqref="O32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</cols>
  <sheetData>
    <row r="1" spans="2:30" ht="15.75" thickBot="1" x14ac:dyDescent="0.3"/>
    <row r="2" spans="2:30" ht="21.75" thickBot="1" x14ac:dyDescent="0.4">
      <c r="B2" s="45" t="s">
        <v>9</v>
      </c>
      <c r="C2" s="46"/>
      <c r="D2" s="46"/>
      <c r="E2" s="46"/>
      <c r="F2" s="46"/>
      <c r="G2" s="47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8</v>
      </c>
      <c r="C4" s="9">
        <v>848.6</v>
      </c>
      <c r="D4" s="9">
        <v>704</v>
      </c>
      <c r="E4" s="10">
        <f>C4/D4</f>
        <v>1.2053977272727272</v>
      </c>
      <c r="F4" s="9">
        <f>D4-C4</f>
        <v>-144.60000000000002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848.6</v>
      </c>
      <c r="D5" s="13">
        <f>D4</f>
        <v>704</v>
      </c>
      <c r="E5" s="14">
        <f>E4</f>
        <v>1.2053977272727272</v>
      </c>
      <c r="F5" s="13">
        <f>F4</f>
        <v>-144.60000000000002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45" t="s">
        <v>10</v>
      </c>
      <c r="C7" s="46"/>
      <c r="D7" s="46"/>
      <c r="E7" s="46"/>
      <c r="F7" s="46"/>
      <c r="G7" s="47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8</v>
      </c>
      <c r="C9" s="9">
        <v>791.7</v>
      </c>
      <c r="D9" s="9">
        <v>528</v>
      </c>
      <c r="E9" s="10">
        <f>C9/D9</f>
        <v>1.4994318181818183</v>
      </c>
      <c r="F9" s="9">
        <f>D9-C9</f>
        <v>-263.70000000000005</v>
      </c>
      <c r="G9" s="11" t="s">
        <v>7</v>
      </c>
    </row>
    <row r="10" spans="2:30" ht="15.75" thickBot="1" x14ac:dyDescent="0.3">
      <c r="B10" s="4" t="s">
        <v>6</v>
      </c>
      <c r="C10" s="5">
        <f>C9</f>
        <v>791.7</v>
      </c>
      <c r="D10" s="5">
        <f>D9</f>
        <v>528</v>
      </c>
      <c r="E10" s="6">
        <f>E9</f>
        <v>1.4994318181818183</v>
      </c>
      <c r="F10" s="5">
        <f>F9</f>
        <v>-263.70000000000005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45" t="s">
        <v>11</v>
      </c>
      <c r="C12" s="46"/>
      <c r="D12" s="46"/>
      <c r="E12" s="46"/>
      <c r="F12" s="46"/>
      <c r="G12" s="47"/>
      <c r="AD12" t="s">
        <v>251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8</v>
      </c>
      <c r="C14" s="9">
        <v>1065.9000000000001</v>
      </c>
      <c r="D14" s="9">
        <v>1056</v>
      </c>
      <c r="E14" s="10">
        <f>C14/D14</f>
        <v>1.0093750000000001</v>
      </c>
      <c r="F14" s="9">
        <f>D14-C14</f>
        <v>-9.9000000000000909</v>
      </c>
      <c r="G14" s="11" t="s">
        <v>7</v>
      </c>
    </row>
    <row r="15" spans="2:30" ht="15.75" thickBot="1" x14ac:dyDescent="0.3">
      <c r="B15" s="4" t="s">
        <v>6</v>
      </c>
      <c r="C15" s="5">
        <f>C14</f>
        <v>1065.9000000000001</v>
      </c>
      <c r="D15" s="5">
        <f>D14</f>
        <v>1056</v>
      </c>
      <c r="E15" s="6">
        <f>E14</f>
        <v>1.0093750000000001</v>
      </c>
      <c r="F15" s="5">
        <f>F14</f>
        <v>-9.9000000000000909</v>
      </c>
      <c r="G15" s="7" t="str">
        <f>G14</f>
        <v>H</v>
      </c>
    </row>
    <row r="16" spans="2:30" ht="15.75" thickBot="1" x14ac:dyDescent="0.3"/>
    <row r="17" spans="2:11" ht="15.75" thickBot="1" x14ac:dyDescent="0.3">
      <c r="B17" s="48" t="s">
        <v>67</v>
      </c>
      <c r="C17" s="49"/>
      <c r="D17" s="50"/>
      <c r="E17" s="51" t="s">
        <v>68</v>
      </c>
      <c r="F17" s="52"/>
      <c r="G17" s="53"/>
    </row>
    <row r="18" spans="2:11" ht="15.75" thickBot="1" x14ac:dyDescent="0.3">
      <c r="B18" s="63" t="s">
        <v>9</v>
      </c>
      <c r="C18" s="64"/>
      <c r="D18" s="64"/>
      <c r="E18" s="64"/>
      <c r="F18" s="64"/>
      <c r="G18" s="65"/>
      <c r="I18" s="66" t="s">
        <v>9</v>
      </c>
      <c r="J18" s="67"/>
      <c r="K18" s="68"/>
    </row>
    <row r="19" spans="2:11" x14ac:dyDescent="0.25">
      <c r="B19" s="54"/>
      <c r="C19" s="55"/>
      <c r="D19" s="55"/>
      <c r="E19" s="55"/>
      <c r="F19" s="55"/>
      <c r="G19" s="56"/>
      <c r="I19" s="34" t="s">
        <v>89</v>
      </c>
      <c r="J19" s="33">
        <f>SUM(J20:J21)</f>
        <v>848.6</v>
      </c>
      <c r="K19" s="35">
        <f>E4</f>
        <v>1.2053977272727272</v>
      </c>
    </row>
    <row r="20" spans="2:11" x14ac:dyDescent="0.25">
      <c r="B20" s="57"/>
      <c r="C20" s="58"/>
      <c r="D20" s="58"/>
      <c r="E20" s="58"/>
      <c r="F20" s="58"/>
      <c r="G20" s="59"/>
      <c r="I20" s="36" t="s">
        <v>87</v>
      </c>
      <c r="J20" s="32">
        <f>'AUSETU T.E'!H1</f>
        <v>184.4</v>
      </c>
      <c r="K20" s="37">
        <f>J20*K19/J19</f>
        <v>0.26193181818181815</v>
      </c>
    </row>
    <row r="21" spans="2:11" ht="15.75" thickBot="1" x14ac:dyDescent="0.3">
      <c r="B21" s="57"/>
      <c r="C21" s="58"/>
      <c r="D21" s="58"/>
      <c r="E21" s="58"/>
      <c r="F21" s="58"/>
      <c r="G21" s="59"/>
      <c r="I21" s="38" t="s">
        <v>88</v>
      </c>
      <c r="J21" s="39">
        <f>'AUSETU UT'!H1</f>
        <v>664.2</v>
      </c>
      <c r="K21" s="40">
        <f>J21*K19/J19</f>
        <v>0.94346590909090911</v>
      </c>
    </row>
    <row r="22" spans="2:11" x14ac:dyDescent="0.25">
      <c r="B22" s="57"/>
      <c r="C22" s="58"/>
      <c r="D22" s="58"/>
      <c r="E22" s="58"/>
      <c r="F22" s="58"/>
      <c r="G22" s="59"/>
    </row>
    <row r="23" spans="2:11" x14ac:dyDescent="0.25">
      <c r="B23" s="57"/>
      <c r="C23" s="58"/>
      <c r="D23" s="58"/>
      <c r="E23" s="58"/>
      <c r="F23" s="58"/>
      <c r="G23" s="59"/>
    </row>
    <row r="24" spans="2:11" x14ac:dyDescent="0.25">
      <c r="B24" s="57"/>
      <c r="C24" s="58"/>
      <c r="D24" s="58"/>
      <c r="E24" s="58"/>
      <c r="F24" s="58"/>
      <c r="G24" s="59"/>
    </row>
    <row r="25" spans="2:11" x14ac:dyDescent="0.25">
      <c r="B25" s="57"/>
      <c r="C25" s="58"/>
      <c r="D25" s="58"/>
      <c r="E25" s="58"/>
      <c r="F25" s="58"/>
      <c r="G25" s="59"/>
    </row>
    <row r="26" spans="2:11" x14ac:dyDescent="0.25">
      <c r="B26" s="57"/>
      <c r="C26" s="58"/>
      <c r="D26" s="58"/>
      <c r="E26" s="58"/>
      <c r="F26" s="58"/>
      <c r="G26" s="59"/>
    </row>
    <row r="27" spans="2:11" x14ac:dyDescent="0.25">
      <c r="B27" s="57"/>
      <c r="C27" s="58"/>
      <c r="D27" s="58"/>
      <c r="E27" s="58"/>
      <c r="F27" s="58"/>
      <c r="G27" s="59"/>
    </row>
    <row r="28" spans="2:11" ht="15.75" thickBot="1" x14ac:dyDescent="0.3">
      <c r="B28" s="69"/>
      <c r="C28" s="70"/>
      <c r="D28" s="70"/>
      <c r="E28" s="70"/>
      <c r="F28" s="70"/>
      <c r="G28" s="71"/>
    </row>
    <row r="29" spans="2:11" ht="15.75" thickBot="1" x14ac:dyDescent="0.3">
      <c r="B29" s="63" t="s">
        <v>10</v>
      </c>
      <c r="C29" s="64"/>
      <c r="D29" s="64"/>
      <c r="E29" s="64"/>
      <c r="F29" s="64"/>
      <c r="G29" s="65"/>
      <c r="I29" s="66" t="s">
        <v>10</v>
      </c>
      <c r="J29" s="67"/>
      <c r="K29" s="68"/>
    </row>
    <row r="30" spans="2:11" x14ac:dyDescent="0.25">
      <c r="B30" s="54"/>
      <c r="C30" s="55"/>
      <c r="D30" s="55"/>
      <c r="E30" s="55"/>
      <c r="F30" s="55"/>
      <c r="G30" s="56"/>
      <c r="I30" s="34" t="s">
        <v>89</v>
      </c>
      <c r="J30" s="33">
        <f>SUM(J31:J32)</f>
        <v>812.09999999999991</v>
      </c>
      <c r="K30" s="35">
        <f>E9</f>
        <v>1.4994318181818183</v>
      </c>
    </row>
    <row r="31" spans="2:11" x14ac:dyDescent="0.25">
      <c r="B31" s="57"/>
      <c r="C31" s="58"/>
      <c r="D31" s="58"/>
      <c r="E31" s="58"/>
      <c r="F31" s="58"/>
      <c r="G31" s="59"/>
      <c r="I31" s="36" t="s">
        <v>87</v>
      </c>
      <c r="J31" s="32">
        <f>'CALDTU T.E'!H1</f>
        <v>249.59999999999997</v>
      </c>
      <c r="K31" s="37">
        <f>J31*K30/J30</f>
        <v>0.46085233569533535</v>
      </c>
    </row>
    <row r="32" spans="2:11" ht="15.75" thickBot="1" x14ac:dyDescent="0.3">
      <c r="B32" s="57"/>
      <c r="C32" s="58"/>
      <c r="D32" s="58"/>
      <c r="E32" s="58"/>
      <c r="F32" s="58"/>
      <c r="G32" s="59"/>
      <c r="I32" s="38" t="s">
        <v>88</v>
      </c>
      <c r="J32" s="39">
        <f>'CALDTU UT'!H1</f>
        <v>562.5</v>
      </c>
      <c r="K32" s="40">
        <f>J32*K30/J30</f>
        <v>1.0385794824864829</v>
      </c>
    </row>
    <row r="33" spans="2:15" x14ac:dyDescent="0.25">
      <c r="B33" s="57"/>
      <c r="C33" s="58"/>
      <c r="D33" s="58"/>
      <c r="E33" s="58"/>
      <c r="F33" s="58"/>
      <c r="G33" s="59"/>
    </row>
    <row r="34" spans="2:15" x14ac:dyDescent="0.25">
      <c r="B34" s="57"/>
      <c r="C34" s="58"/>
      <c r="D34" s="58"/>
      <c r="E34" s="58"/>
      <c r="F34" s="58"/>
      <c r="G34" s="59"/>
    </row>
    <row r="35" spans="2:15" x14ac:dyDescent="0.25">
      <c r="B35" s="57"/>
      <c r="C35" s="58"/>
      <c r="D35" s="58"/>
      <c r="E35" s="58"/>
      <c r="F35" s="58"/>
      <c r="G35" s="59"/>
    </row>
    <row r="36" spans="2:15" x14ac:dyDescent="0.25">
      <c r="B36" s="57"/>
      <c r="C36" s="58"/>
      <c r="D36" s="58"/>
      <c r="E36" s="58"/>
      <c r="F36" s="58"/>
      <c r="G36" s="59"/>
    </row>
    <row r="37" spans="2:15" x14ac:dyDescent="0.25">
      <c r="B37" s="57"/>
      <c r="C37" s="58"/>
      <c r="D37" s="58"/>
      <c r="E37" s="58"/>
      <c r="F37" s="58"/>
      <c r="G37" s="59"/>
    </row>
    <row r="38" spans="2:15" x14ac:dyDescent="0.25">
      <c r="B38" s="57"/>
      <c r="C38" s="58"/>
      <c r="D38" s="58"/>
      <c r="E38" s="58"/>
      <c r="F38" s="58"/>
      <c r="G38" s="59"/>
    </row>
    <row r="39" spans="2:15" ht="15.75" thickBot="1" x14ac:dyDescent="0.3">
      <c r="B39" s="69"/>
      <c r="C39" s="70"/>
      <c r="D39" s="70"/>
      <c r="E39" s="70"/>
      <c r="F39" s="70"/>
      <c r="G39" s="71"/>
    </row>
    <row r="40" spans="2:15" ht="15.75" thickBot="1" x14ac:dyDescent="0.3">
      <c r="B40" s="63" t="s">
        <v>11</v>
      </c>
      <c r="C40" s="64"/>
      <c r="D40" s="64"/>
      <c r="E40" s="64"/>
      <c r="F40" s="64"/>
      <c r="G40" s="65"/>
      <c r="I40" s="66" t="s">
        <v>11</v>
      </c>
      <c r="J40" s="67"/>
      <c r="K40" s="68"/>
    </row>
    <row r="41" spans="2:15" x14ac:dyDescent="0.25">
      <c r="B41" s="54"/>
      <c r="C41" s="55"/>
      <c r="D41" s="55"/>
      <c r="E41" s="55"/>
      <c r="F41" s="55"/>
      <c r="G41" s="56"/>
      <c r="I41" s="34" t="s">
        <v>89</v>
      </c>
      <c r="J41" s="41">
        <f>E14</f>
        <v>1.0093750000000001</v>
      </c>
      <c r="K41" s="35">
        <f>E14</f>
        <v>1.0093750000000001</v>
      </c>
    </row>
    <row r="42" spans="2:15" x14ac:dyDescent="0.25">
      <c r="B42" s="57"/>
      <c r="C42" s="58"/>
      <c r="D42" s="58"/>
      <c r="E42" s="58"/>
      <c r="F42" s="58"/>
      <c r="G42" s="59"/>
      <c r="I42" s="36" t="s">
        <v>87</v>
      </c>
      <c r="J42" s="32">
        <f>'MANDTU T.E'!H1</f>
        <v>372</v>
      </c>
      <c r="K42" s="37" cm="1">
        <f t="array" ref="K42:K43">K20:K21</f>
        <v>0.26193181818181815</v>
      </c>
    </row>
    <row r="43" spans="2:15" ht="15.75" thickBot="1" x14ac:dyDescent="0.3">
      <c r="B43" s="57"/>
      <c r="C43" s="58"/>
      <c r="D43" s="58"/>
      <c r="E43" s="58"/>
      <c r="F43" s="58"/>
      <c r="G43" s="59"/>
      <c r="I43" s="38" t="s">
        <v>88</v>
      </c>
      <c r="J43" s="39">
        <f>'MANDTU UT'!H1</f>
        <v>700.2</v>
      </c>
      <c r="K43" s="40">
        <v>0.94346590909090911</v>
      </c>
    </row>
    <row r="44" spans="2:15" x14ac:dyDescent="0.25">
      <c r="B44" s="57"/>
      <c r="C44" s="58"/>
      <c r="D44" s="58"/>
      <c r="E44" s="58"/>
      <c r="F44" s="58"/>
      <c r="G44" s="59"/>
      <c r="N44">
        <v>100</v>
      </c>
      <c r="O44" s="42">
        <f>SUM(J47+J48)</f>
        <v>1.6178977272727273</v>
      </c>
    </row>
    <row r="45" spans="2:15" ht="15.75" thickBot="1" x14ac:dyDescent="0.3">
      <c r="B45" s="57"/>
      <c r="C45" s="58"/>
      <c r="D45" s="58"/>
      <c r="E45" s="58"/>
      <c r="F45" s="58"/>
      <c r="G45" s="59"/>
      <c r="N45" t="s">
        <v>56</v>
      </c>
      <c r="O45" s="43">
        <f>J47*N44</f>
        <v>64.272729371662692</v>
      </c>
    </row>
    <row r="46" spans="2:15" ht="15.75" thickBot="1" x14ac:dyDescent="0.3">
      <c r="B46" s="57"/>
      <c r="C46" s="58"/>
      <c r="D46" s="58"/>
      <c r="E46" s="58"/>
      <c r="F46" s="58"/>
      <c r="G46" s="59"/>
      <c r="I46" s="66" t="s">
        <v>89</v>
      </c>
      <c r="J46" s="67"/>
      <c r="K46" s="68"/>
      <c r="O46" s="43">
        <f>J48*N44</f>
        <v>97.517043355610028</v>
      </c>
    </row>
    <row r="47" spans="2:15" x14ac:dyDescent="0.25">
      <c r="B47" s="57"/>
      <c r="C47" s="58"/>
      <c r="D47" s="58"/>
      <c r="E47" s="58"/>
      <c r="F47" s="58"/>
      <c r="G47" s="59"/>
      <c r="I47" s="36" t="s">
        <v>87</v>
      </c>
      <c r="J47" s="42">
        <f>SUM(K19+K31+K42)/3</f>
        <v>0.64272729371662696</v>
      </c>
      <c r="K47" s="1">
        <f>K51</f>
        <v>0.39726076802151483</v>
      </c>
    </row>
    <row r="48" spans="2:15" ht="15.75" thickBot="1" x14ac:dyDescent="0.3">
      <c r="B48" s="57"/>
      <c r="C48" s="58"/>
      <c r="D48" s="58"/>
      <c r="E48" s="58"/>
      <c r="F48" s="58"/>
      <c r="G48" s="59"/>
      <c r="I48" s="38" t="s">
        <v>88</v>
      </c>
      <c r="J48" s="42">
        <f>SUM(K21+K32+K43)/3</f>
        <v>0.97517043355610034</v>
      </c>
    </row>
    <row r="49" spans="2:14" ht="15.75" thickBot="1" x14ac:dyDescent="0.3">
      <c r="B49" s="57"/>
      <c r="C49" s="58"/>
      <c r="D49" s="58"/>
      <c r="E49" s="58"/>
      <c r="F49" s="58"/>
      <c r="G49" s="59"/>
    </row>
    <row r="50" spans="2:14" ht="15.75" thickBot="1" x14ac:dyDescent="0.3">
      <c r="B50" s="60"/>
      <c r="C50" s="61"/>
      <c r="D50" s="61"/>
      <c r="E50" s="61"/>
      <c r="F50" s="61"/>
      <c r="G50" s="62"/>
      <c r="I50" s="66" t="s">
        <v>89</v>
      </c>
      <c r="J50" s="67"/>
      <c r="K50" s="68"/>
      <c r="N50" s="42"/>
    </row>
    <row r="51" spans="2:14" x14ac:dyDescent="0.25">
      <c r="I51" s="36" t="s">
        <v>87</v>
      </c>
      <c r="K51" s="44">
        <f>O45/O44/100</f>
        <v>0.39726076802151483</v>
      </c>
    </row>
    <row r="52" spans="2:14" ht="15.75" thickBot="1" x14ac:dyDescent="0.3">
      <c r="I52" s="38" t="s">
        <v>88</v>
      </c>
      <c r="K52" s="44">
        <f>O46/O44/100</f>
        <v>0.60273923197848522</v>
      </c>
    </row>
  </sheetData>
  <mergeCells count="16"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  <mergeCell ref="B2:G2"/>
    <mergeCell ref="B7:G7"/>
    <mergeCell ref="B12:G12"/>
    <mergeCell ref="B17:D17"/>
    <mergeCell ref="E17:G17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22"/>
  <sheetViews>
    <sheetView tabSelected="1" topLeftCell="C3" workbookViewId="0">
      <selection activeCell="F29" sqref="F29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184.4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132037093</v>
      </c>
      <c r="B3">
        <v>2026886835</v>
      </c>
      <c r="C3">
        <v>90</v>
      </c>
      <c r="D3">
        <v>10</v>
      </c>
      <c r="E3" t="s">
        <v>9</v>
      </c>
      <c r="F3" t="s">
        <v>12</v>
      </c>
      <c r="G3">
        <v>1</v>
      </c>
      <c r="H3">
        <v>6</v>
      </c>
      <c r="I3">
        <v>0</v>
      </c>
      <c r="J3">
        <v>6</v>
      </c>
      <c r="K3" t="s">
        <v>13</v>
      </c>
      <c r="L3" s="18">
        <v>0.3125</v>
      </c>
      <c r="M3" s="18" t="s">
        <v>13</v>
      </c>
      <c r="N3" s="18">
        <v>0.60416666666666663</v>
      </c>
      <c r="O3" s="18" t="s">
        <v>14</v>
      </c>
      <c r="P3" t="s">
        <v>15</v>
      </c>
      <c r="Q3" t="s">
        <v>16</v>
      </c>
      <c r="T3" s="18">
        <v>0</v>
      </c>
      <c r="U3" s="18"/>
      <c r="W3" s="18">
        <v>0</v>
      </c>
      <c r="X3" s="18"/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133307567</v>
      </c>
      <c r="B4">
        <v>2027633988</v>
      </c>
      <c r="C4">
        <v>470</v>
      </c>
      <c r="D4">
        <v>10</v>
      </c>
      <c r="E4" t="s">
        <v>9</v>
      </c>
      <c r="F4" t="s">
        <v>17</v>
      </c>
      <c r="G4">
        <v>1</v>
      </c>
      <c r="H4">
        <v>6</v>
      </c>
      <c r="I4">
        <v>0</v>
      </c>
      <c r="J4">
        <v>6</v>
      </c>
      <c r="K4" t="s">
        <v>18</v>
      </c>
      <c r="L4" s="18">
        <v>0.6875</v>
      </c>
      <c r="M4" t="s">
        <v>19</v>
      </c>
      <c r="N4" s="18">
        <v>0.5625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114258278</v>
      </c>
      <c r="B5">
        <v>2027906179</v>
      </c>
      <c r="C5">
        <v>160</v>
      </c>
      <c r="E5" t="s">
        <v>9</v>
      </c>
      <c r="F5" t="s">
        <v>22</v>
      </c>
      <c r="G5">
        <v>1</v>
      </c>
      <c r="H5">
        <v>0.2</v>
      </c>
      <c r="I5">
        <v>0</v>
      </c>
      <c r="J5">
        <v>0.2</v>
      </c>
      <c r="K5" t="s">
        <v>13</v>
      </c>
      <c r="L5" s="18">
        <v>0</v>
      </c>
      <c r="M5" t="s">
        <v>13</v>
      </c>
      <c r="N5" s="18">
        <v>8.3333333333333332E-3</v>
      </c>
      <c r="O5" t="s">
        <v>23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132416336</v>
      </c>
      <c r="B6">
        <v>2028069792</v>
      </c>
      <c r="C6">
        <v>140</v>
      </c>
      <c r="D6">
        <v>10</v>
      </c>
      <c r="E6" t="s">
        <v>9</v>
      </c>
      <c r="F6" t="s">
        <v>24</v>
      </c>
      <c r="G6">
        <v>1</v>
      </c>
      <c r="H6">
        <v>3</v>
      </c>
      <c r="I6">
        <v>0</v>
      </c>
      <c r="J6">
        <v>3</v>
      </c>
      <c r="K6" t="s">
        <v>13</v>
      </c>
      <c r="L6" s="18">
        <v>0.61250000000000004</v>
      </c>
      <c r="M6" t="s">
        <v>21</v>
      </c>
      <c r="N6" s="18">
        <v>0.32083333333333336</v>
      </c>
      <c r="O6" t="s">
        <v>14</v>
      </c>
      <c r="P6" t="s">
        <v>25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132416340</v>
      </c>
      <c r="B7">
        <v>2028069792</v>
      </c>
      <c r="C7">
        <v>130</v>
      </c>
      <c r="D7">
        <v>10</v>
      </c>
      <c r="E7" t="s">
        <v>9</v>
      </c>
      <c r="F7" t="s">
        <v>26</v>
      </c>
      <c r="G7">
        <v>1</v>
      </c>
      <c r="H7">
        <v>8</v>
      </c>
      <c r="I7">
        <v>0</v>
      </c>
      <c r="J7">
        <v>8</v>
      </c>
      <c r="K7" t="s">
        <v>19</v>
      </c>
      <c r="L7" s="18">
        <v>0.3125</v>
      </c>
      <c r="M7" t="s">
        <v>19</v>
      </c>
      <c r="N7" s="18">
        <v>0.6875</v>
      </c>
      <c r="O7" t="s">
        <v>14</v>
      </c>
      <c r="P7" t="s">
        <v>25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119476074</v>
      </c>
      <c r="B8">
        <v>2029148435</v>
      </c>
      <c r="C8">
        <v>110</v>
      </c>
      <c r="E8" t="s">
        <v>9</v>
      </c>
      <c r="F8" t="s">
        <v>27</v>
      </c>
      <c r="G8">
        <v>2</v>
      </c>
      <c r="H8">
        <v>16</v>
      </c>
      <c r="I8">
        <v>0</v>
      </c>
      <c r="J8">
        <v>8</v>
      </c>
      <c r="K8" t="s">
        <v>13</v>
      </c>
      <c r="L8" s="18">
        <v>0.3125</v>
      </c>
      <c r="M8" t="s">
        <v>13</v>
      </c>
      <c r="N8" s="18">
        <v>0.6875</v>
      </c>
      <c r="O8" t="s">
        <v>28</v>
      </c>
      <c r="P8" t="s">
        <v>20</v>
      </c>
      <c r="Q8" t="s">
        <v>16</v>
      </c>
      <c r="T8" s="18">
        <v>0</v>
      </c>
      <c r="W8" s="18">
        <v>1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119476082</v>
      </c>
      <c r="B9">
        <v>2029148435</v>
      </c>
      <c r="C9">
        <v>150</v>
      </c>
      <c r="E9" t="s">
        <v>9</v>
      </c>
      <c r="F9" t="s">
        <v>29</v>
      </c>
      <c r="G9">
        <v>2</v>
      </c>
      <c r="H9">
        <v>16</v>
      </c>
      <c r="I9">
        <v>0</v>
      </c>
      <c r="J9">
        <v>8</v>
      </c>
      <c r="K9" t="s">
        <v>21</v>
      </c>
      <c r="L9" s="18">
        <v>0.35416666666666669</v>
      </c>
      <c r="M9" t="s">
        <v>21</v>
      </c>
      <c r="N9" s="18">
        <v>0.72916666666666663</v>
      </c>
      <c r="O9" t="s">
        <v>28</v>
      </c>
      <c r="P9" t="s">
        <v>20</v>
      </c>
      <c r="Q9" t="s">
        <v>16</v>
      </c>
      <c r="T9" s="18">
        <v>0</v>
      </c>
      <c r="W9" s="18">
        <v>1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119476090</v>
      </c>
      <c r="B10">
        <v>2029148435</v>
      </c>
      <c r="C10">
        <v>190</v>
      </c>
      <c r="E10" t="s">
        <v>9</v>
      </c>
      <c r="F10" t="s">
        <v>30</v>
      </c>
      <c r="G10">
        <v>2</v>
      </c>
      <c r="H10">
        <v>16</v>
      </c>
      <c r="I10">
        <v>0</v>
      </c>
      <c r="J10">
        <v>8</v>
      </c>
      <c r="K10" t="s">
        <v>18</v>
      </c>
      <c r="L10" s="18">
        <v>0.39583333333333331</v>
      </c>
      <c r="M10" t="s">
        <v>19</v>
      </c>
      <c r="N10" s="18">
        <v>0.35416666666666669</v>
      </c>
      <c r="O10" t="s">
        <v>28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122920064</v>
      </c>
      <c r="B11">
        <v>2029662416</v>
      </c>
      <c r="C11">
        <v>100</v>
      </c>
      <c r="E11" t="s">
        <v>9</v>
      </c>
      <c r="F11" t="s">
        <v>31</v>
      </c>
      <c r="G11">
        <v>1</v>
      </c>
      <c r="H11">
        <v>0.2</v>
      </c>
      <c r="I11">
        <v>0</v>
      </c>
      <c r="J11">
        <v>0.2</v>
      </c>
      <c r="K11" t="s">
        <v>19</v>
      </c>
      <c r="L11" s="18">
        <v>0.6958333333333333</v>
      </c>
      <c r="M11" t="s">
        <v>19</v>
      </c>
      <c r="N11" s="18">
        <v>0.70416666666666672</v>
      </c>
      <c r="O11" t="s">
        <v>14</v>
      </c>
      <c r="P11" t="s">
        <v>20</v>
      </c>
      <c r="Q11" t="s">
        <v>16</v>
      </c>
      <c r="T11" s="18">
        <v>0</v>
      </c>
      <c r="W11" s="19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123166989</v>
      </c>
      <c r="B12">
        <v>2029717491</v>
      </c>
      <c r="C12">
        <v>80</v>
      </c>
      <c r="E12" t="s">
        <v>9</v>
      </c>
      <c r="F12" t="s">
        <v>32</v>
      </c>
      <c r="G12">
        <v>2</v>
      </c>
      <c r="H12">
        <v>8</v>
      </c>
      <c r="I12">
        <v>0</v>
      </c>
      <c r="J12">
        <v>4</v>
      </c>
      <c r="K12" t="s">
        <v>19</v>
      </c>
      <c r="L12" s="18">
        <v>0.39583333333333331</v>
      </c>
      <c r="M12" t="s">
        <v>19</v>
      </c>
      <c r="N12" s="18">
        <v>0.60416666666666663</v>
      </c>
      <c r="O12" t="s">
        <v>14</v>
      </c>
      <c r="P12" t="s">
        <v>20</v>
      </c>
      <c r="Q12" t="s">
        <v>16</v>
      </c>
      <c r="T12" s="18">
        <v>0</v>
      </c>
      <c r="W12" s="19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125809528</v>
      </c>
      <c r="B13">
        <v>2030059227</v>
      </c>
      <c r="C13">
        <v>90</v>
      </c>
      <c r="E13" t="s">
        <v>9</v>
      </c>
      <c r="F13" t="s">
        <v>62</v>
      </c>
      <c r="G13">
        <v>1</v>
      </c>
      <c r="H13">
        <v>44</v>
      </c>
      <c r="I13">
        <v>0</v>
      </c>
      <c r="J13">
        <v>44</v>
      </c>
      <c r="K13" t="s">
        <v>13</v>
      </c>
      <c r="L13" s="18">
        <v>0.3125</v>
      </c>
      <c r="M13" t="s">
        <v>33</v>
      </c>
      <c r="N13" s="18">
        <v>0.6875</v>
      </c>
      <c r="O13" t="s">
        <v>14</v>
      </c>
      <c r="P13" t="s">
        <v>25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129027447</v>
      </c>
      <c r="B14">
        <v>2030708048</v>
      </c>
      <c r="C14">
        <v>200</v>
      </c>
      <c r="E14" t="s">
        <v>9</v>
      </c>
      <c r="F14" t="s">
        <v>34</v>
      </c>
      <c r="G14">
        <v>2</v>
      </c>
      <c r="H14">
        <v>24</v>
      </c>
      <c r="I14">
        <v>0</v>
      </c>
      <c r="J14">
        <v>12</v>
      </c>
      <c r="K14" t="s">
        <v>21</v>
      </c>
      <c r="L14" s="18">
        <v>0.6875</v>
      </c>
      <c r="M14" t="s">
        <v>19</v>
      </c>
      <c r="N14" s="18">
        <v>0.39583333333333331</v>
      </c>
      <c r="O14" t="s">
        <v>28</v>
      </c>
      <c r="P14" t="s">
        <v>25</v>
      </c>
      <c r="Q14" t="s">
        <v>16</v>
      </c>
      <c r="T14" s="18">
        <v>0</v>
      </c>
      <c r="W14" s="18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132686546</v>
      </c>
      <c r="B15">
        <v>2031202865</v>
      </c>
      <c r="C15">
        <v>30</v>
      </c>
      <c r="E15" t="s">
        <v>9</v>
      </c>
      <c r="F15" t="s">
        <v>35</v>
      </c>
      <c r="G15">
        <v>2</v>
      </c>
      <c r="H15">
        <v>18</v>
      </c>
      <c r="I15">
        <v>0</v>
      </c>
      <c r="J15">
        <v>9</v>
      </c>
      <c r="K15" t="s">
        <v>21</v>
      </c>
      <c r="L15" s="18">
        <v>0.64583333333333337</v>
      </c>
      <c r="M15" t="s">
        <v>18</v>
      </c>
      <c r="N15" s="18">
        <v>0.64583333333333337</v>
      </c>
      <c r="O15" t="s">
        <v>14</v>
      </c>
      <c r="P15" t="s">
        <v>20</v>
      </c>
      <c r="Q15" t="s">
        <v>16</v>
      </c>
      <c r="T15" s="18">
        <v>0</v>
      </c>
      <c r="W15" s="18">
        <v>1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133622830</v>
      </c>
      <c r="B16">
        <v>2031301179</v>
      </c>
      <c r="C16">
        <v>100</v>
      </c>
      <c r="E16" t="s">
        <v>9</v>
      </c>
      <c r="F16" t="s">
        <v>69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0.41666666666666669</v>
      </c>
      <c r="M16" t="s">
        <v>13</v>
      </c>
      <c r="N16" s="18">
        <v>0.5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37</v>
      </c>
      <c r="AC16">
        <v>18</v>
      </c>
    </row>
    <row r="17" spans="1:29" x14ac:dyDescent="0.25">
      <c r="A17">
        <v>133656455</v>
      </c>
      <c r="B17">
        <v>2031360214</v>
      </c>
      <c r="C17">
        <v>30</v>
      </c>
      <c r="E17" t="s">
        <v>9</v>
      </c>
      <c r="F17" t="s">
        <v>63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0.60833333333333328</v>
      </c>
      <c r="M17" t="s">
        <v>13</v>
      </c>
      <c r="N17" s="18">
        <v>0.69166666666666665</v>
      </c>
      <c r="O17" t="s">
        <v>14</v>
      </c>
      <c r="P17" t="s">
        <v>20</v>
      </c>
      <c r="Q17" t="s">
        <v>16</v>
      </c>
      <c r="T17" s="18">
        <v>0</v>
      </c>
      <c r="W17" s="18">
        <v>1</v>
      </c>
      <c r="X17" t="s">
        <v>56</v>
      </c>
      <c r="Y17">
        <v>0</v>
      </c>
      <c r="Z17">
        <v>0</v>
      </c>
      <c r="AA17">
        <v>2</v>
      </c>
      <c r="AB17" t="s">
        <v>37</v>
      </c>
      <c r="AC17">
        <v>18</v>
      </c>
    </row>
    <row r="18" spans="1:29" x14ac:dyDescent="0.25">
      <c r="A18">
        <v>133656466</v>
      </c>
      <c r="B18">
        <v>2031360214</v>
      </c>
      <c r="C18">
        <v>120</v>
      </c>
      <c r="E18" t="s">
        <v>9</v>
      </c>
      <c r="F18" t="s">
        <v>70</v>
      </c>
      <c r="G18">
        <v>1</v>
      </c>
      <c r="H18">
        <v>1</v>
      </c>
      <c r="I18">
        <v>0</v>
      </c>
      <c r="J18">
        <v>1</v>
      </c>
      <c r="K18" t="s">
        <v>21</v>
      </c>
      <c r="L18" s="18">
        <v>0.62916666666666665</v>
      </c>
      <c r="M18" t="s">
        <v>21</v>
      </c>
      <c r="N18" s="18">
        <v>0.67083333333333328</v>
      </c>
      <c r="O18" t="s">
        <v>14</v>
      </c>
      <c r="P18" t="s">
        <v>20</v>
      </c>
      <c r="Q18" t="s">
        <v>16</v>
      </c>
      <c r="T18" s="18">
        <v>0</v>
      </c>
      <c r="W18" s="19">
        <v>1</v>
      </c>
      <c r="Y18">
        <v>0</v>
      </c>
      <c r="Z18">
        <v>0</v>
      </c>
      <c r="AA18">
        <v>2</v>
      </c>
      <c r="AB18" t="s">
        <v>37</v>
      </c>
      <c r="AC18">
        <v>18</v>
      </c>
    </row>
    <row r="19" spans="1:29" x14ac:dyDescent="0.25">
      <c r="A19">
        <v>133656477</v>
      </c>
      <c r="B19">
        <v>2031360216</v>
      </c>
      <c r="C19">
        <v>30</v>
      </c>
      <c r="E19" t="s">
        <v>9</v>
      </c>
      <c r="F19" t="s">
        <v>71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0.69166666666666665</v>
      </c>
      <c r="M19" t="s">
        <v>21</v>
      </c>
      <c r="N19" s="18">
        <v>0.35833333333333334</v>
      </c>
      <c r="O19" t="s">
        <v>14</v>
      </c>
      <c r="P19" t="s">
        <v>20</v>
      </c>
      <c r="Q19" t="s">
        <v>16</v>
      </c>
      <c r="T19" s="18">
        <v>0</v>
      </c>
      <c r="W19" s="18">
        <v>1</v>
      </c>
      <c r="X19" t="s">
        <v>56</v>
      </c>
      <c r="Y19">
        <v>0</v>
      </c>
      <c r="Z19">
        <v>0</v>
      </c>
      <c r="AA19">
        <v>2</v>
      </c>
      <c r="AB19" t="s">
        <v>37</v>
      </c>
      <c r="AC19">
        <v>18</v>
      </c>
    </row>
    <row r="20" spans="1:29" x14ac:dyDescent="0.25">
      <c r="A20">
        <v>133656488</v>
      </c>
      <c r="B20">
        <v>2031360216</v>
      </c>
      <c r="C20">
        <v>120</v>
      </c>
      <c r="E20" t="s">
        <v>9</v>
      </c>
      <c r="F20" t="s">
        <v>72</v>
      </c>
      <c r="G20">
        <v>1</v>
      </c>
      <c r="H20">
        <v>1</v>
      </c>
      <c r="I20">
        <v>0</v>
      </c>
      <c r="J20">
        <v>1</v>
      </c>
      <c r="K20" t="s">
        <v>18</v>
      </c>
      <c r="L20" s="18">
        <v>0.37916666666666665</v>
      </c>
      <c r="M20" t="s">
        <v>18</v>
      </c>
      <c r="N20" s="18">
        <v>0.42083333333333334</v>
      </c>
      <c r="O20" t="s">
        <v>14</v>
      </c>
      <c r="P20" t="s">
        <v>20</v>
      </c>
      <c r="Q20" t="s">
        <v>16</v>
      </c>
      <c r="T20" s="18">
        <v>0</v>
      </c>
      <c r="W20" s="19">
        <v>1</v>
      </c>
      <c r="Y20">
        <v>0</v>
      </c>
      <c r="Z20">
        <v>0</v>
      </c>
      <c r="AA20">
        <v>2</v>
      </c>
      <c r="AB20" t="s">
        <v>37</v>
      </c>
      <c r="AC20">
        <v>18</v>
      </c>
    </row>
    <row r="21" spans="1:29" x14ac:dyDescent="0.25">
      <c r="A21">
        <v>133656531</v>
      </c>
      <c r="B21">
        <v>2031360219</v>
      </c>
      <c r="C21">
        <v>30</v>
      </c>
      <c r="E21" t="s">
        <v>9</v>
      </c>
      <c r="F21" t="s">
        <v>73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0.69166666666666665</v>
      </c>
      <c r="M21" t="s">
        <v>21</v>
      </c>
      <c r="N21" s="18">
        <v>0.35833333333333334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X21" t="s">
        <v>56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133656542</v>
      </c>
      <c r="B22">
        <v>2031360219</v>
      </c>
      <c r="C22">
        <v>120</v>
      </c>
      <c r="E22" t="s">
        <v>9</v>
      </c>
      <c r="F22" t="s">
        <v>74</v>
      </c>
      <c r="G22">
        <v>1</v>
      </c>
      <c r="H22">
        <v>1</v>
      </c>
      <c r="I22">
        <v>0</v>
      </c>
      <c r="J22">
        <v>1</v>
      </c>
      <c r="K22" t="s">
        <v>18</v>
      </c>
      <c r="L22" s="18">
        <v>0.42083333333333334</v>
      </c>
      <c r="M22" t="s">
        <v>18</v>
      </c>
      <c r="N22" s="18">
        <v>0.46250000000000002</v>
      </c>
      <c r="O22" t="s">
        <v>14</v>
      </c>
      <c r="P22" t="s">
        <v>20</v>
      </c>
      <c r="Q22" t="s">
        <v>16</v>
      </c>
      <c r="T22" s="18">
        <v>0</v>
      </c>
      <c r="W22" s="19">
        <v>1</v>
      </c>
      <c r="Y22">
        <v>0</v>
      </c>
      <c r="Z22">
        <v>0</v>
      </c>
      <c r="AA22">
        <v>2</v>
      </c>
      <c r="AB22" t="s">
        <v>37</v>
      </c>
      <c r="AC22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41"/>
  <sheetViews>
    <sheetView topLeftCell="A24" workbookViewId="0">
      <selection activeCell="H43" sqref="H4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249.59999999999997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133467423</v>
      </c>
      <c r="B3">
        <v>2025136323</v>
      </c>
      <c r="C3">
        <v>101</v>
      </c>
      <c r="E3" t="s">
        <v>10</v>
      </c>
      <c r="F3" t="s">
        <v>252</v>
      </c>
      <c r="G3">
        <v>2</v>
      </c>
      <c r="H3">
        <v>6</v>
      </c>
      <c r="I3">
        <v>0</v>
      </c>
      <c r="J3">
        <v>3</v>
      </c>
      <c r="K3" t="s">
        <v>13</v>
      </c>
      <c r="L3" s="18">
        <v>0.3125</v>
      </c>
      <c r="M3" t="s">
        <v>13</v>
      </c>
      <c r="N3" s="18">
        <v>0.4375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37</v>
      </c>
      <c r="AC3">
        <v>18</v>
      </c>
    </row>
    <row r="4" spans="1:29" x14ac:dyDescent="0.25">
      <c r="A4">
        <v>133467425</v>
      </c>
      <c r="B4">
        <v>2025136323</v>
      </c>
      <c r="C4">
        <v>103</v>
      </c>
      <c r="E4" t="s">
        <v>10</v>
      </c>
      <c r="F4" t="s">
        <v>253</v>
      </c>
      <c r="G4">
        <v>2</v>
      </c>
      <c r="H4">
        <v>6</v>
      </c>
      <c r="I4">
        <v>0</v>
      </c>
      <c r="J4">
        <v>3</v>
      </c>
      <c r="K4" t="s">
        <v>13</v>
      </c>
      <c r="L4" s="18">
        <v>0.44166666666666665</v>
      </c>
      <c r="M4" t="s">
        <v>13</v>
      </c>
      <c r="N4" s="18">
        <v>0.60833333333333328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18</v>
      </c>
    </row>
    <row r="5" spans="1:29" x14ac:dyDescent="0.25">
      <c r="A5">
        <v>133467429</v>
      </c>
      <c r="B5">
        <v>2025136323</v>
      </c>
      <c r="C5">
        <v>107</v>
      </c>
      <c r="E5" t="s">
        <v>10</v>
      </c>
      <c r="F5" t="s">
        <v>254</v>
      </c>
      <c r="G5">
        <v>2</v>
      </c>
      <c r="H5">
        <v>6</v>
      </c>
      <c r="I5">
        <v>0</v>
      </c>
      <c r="J5">
        <v>3</v>
      </c>
      <c r="K5" t="s">
        <v>21</v>
      </c>
      <c r="L5" s="18">
        <v>0.31666666666666665</v>
      </c>
      <c r="M5" t="s">
        <v>21</v>
      </c>
      <c r="N5" s="18">
        <v>0.44166666666666665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18</v>
      </c>
    </row>
    <row r="6" spans="1:29" x14ac:dyDescent="0.25">
      <c r="A6">
        <v>122166246</v>
      </c>
      <c r="B6">
        <v>2026886835</v>
      </c>
      <c r="C6">
        <v>55</v>
      </c>
      <c r="E6" t="s">
        <v>10</v>
      </c>
      <c r="F6" t="s">
        <v>255</v>
      </c>
      <c r="G6">
        <v>2</v>
      </c>
      <c r="H6">
        <v>4</v>
      </c>
      <c r="I6">
        <v>0</v>
      </c>
      <c r="J6">
        <v>2</v>
      </c>
      <c r="K6" t="s">
        <v>21</v>
      </c>
      <c r="L6" s="18">
        <v>0.60416666666666663</v>
      </c>
      <c r="M6" t="s">
        <v>21</v>
      </c>
      <c r="N6" s="18">
        <v>0.6875</v>
      </c>
      <c r="O6" t="s">
        <v>134</v>
      </c>
      <c r="P6" t="s">
        <v>15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107818756</v>
      </c>
      <c r="B7">
        <v>2026886835</v>
      </c>
      <c r="C7">
        <v>120</v>
      </c>
      <c r="E7" t="s">
        <v>10</v>
      </c>
      <c r="F7" t="s">
        <v>256</v>
      </c>
      <c r="G7">
        <v>2</v>
      </c>
      <c r="H7">
        <v>12</v>
      </c>
      <c r="I7">
        <v>0</v>
      </c>
      <c r="J7">
        <v>6</v>
      </c>
      <c r="K7" t="s">
        <v>21</v>
      </c>
      <c r="L7" s="18">
        <v>0.60416666666666663</v>
      </c>
      <c r="M7" t="s">
        <v>18</v>
      </c>
      <c r="N7" s="18">
        <v>0.4375</v>
      </c>
      <c r="O7" t="s">
        <v>134</v>
      </c>
      <c r="P7" t="s">
        <v>257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111720872</v>
      </c>
      <c r="B8">
        <v>2027633988</v>
      </c>
      <c r="C8">
        <v>485</v>
      </c>
      <c r="E8" t="s">
        <v>10</v>
      </c>
      <c r="F8" t="s">
        <v>258</v>
      </c>
      <c r="G8">
        <v>2</v>
      </c>
      <c r="H8">
        <v>16</v>
      </c>
      <c r="I8">
        <v>0</v>
      </c>
      <c r="J8">
        <v>8</v>
      </c>
      <c r="K8" t="s">
        <v>19</v>
      </c>
      <c r="L8" s="18">
        <v>0.56666666666666665</v>
      </c>
      <c r="M8" t="s">
        <v>33</v>
      </c>
      <c r="N8" s="18">
        <v>0.48333333333333334</v>
      </c>
      <c r="O8" t="s">
        <v>14</v>
      </c>
      <c r="P8" t="s">
        <v>15</v>
      </c>
      <c r="Q8" t="s">
        <v>16</v>
      </c>
      <c r="T8" s="18">
        <v>0</v>
      </c>
      <c r="W8" s="19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132433766</v>
      </c>
      <c r="B9">
        <v>2029462344</v>
      </c>
      <c r="C9">
        <v>245</v>
      </c>
      <c r="E9" t="s">
        <v>10</v>
      </c>
      <c r="F9" t="s">
        <v>259</v>
      </c>
      <c r="G9">
        <v>2</v>
      </c>
      <c r="H9">
        <v>6</v>
      </c>
      <c r="I9">
        <v>0</v>
      </c>
      <c r="J9">
        <v>3</v>
      </c>
      <c r="K9" t="s">
        <v>18</v>
      </c>
      <c r="L9" s="18">
        <v>0.39583333333333331</v>
      </c>
      <c r="M9" t="s">
        <v>18</v>
      </c>
      <c r="N9" s="18">
        <v>0.5625</v>
      </c>
      <c r="O9" t="s">
        <v>14</v>
      </c>
      <c r="P9" t="s">
        <v>20</v>
      </c>
      <c r="Q9" t="s">
        <v>16</v>
      </c>
      <c r="T9" s="18">
        <v>0</v>
      </c>
      <c r="W9" s="19">
        <v>0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132433767</v>
      </c>
      <c r="B10">
        <v>2029462344</v>
      </c>
      <c r="C10">
        <v>246</v>
      </c>
      <c r="E10" t="s">
        <v>10</v>
      </c>
      <c r="F10" t="s">
        <v>260</v>
      </c>
      <c r="G10">
        <v>2</v>
      </c>
      <c r="H10">
        <v>2</v>
      </c>
      <c r="I10">
        <v>0</v>
      </c>
      <c r="J10">
        <v>1</v>
      </c>
      <c r="K10" t="s">
        <v>18</v>
      </c>
      <c r="L10" s="18">
        <v>0.5625</v>
      </c>
      <c r="M10" t="s">
        <v>18</v>
      </c>
      <c r="N10" s="18">
        <v>0.60416666666666663</v>
      </c>
      <c r="O10" t="s">
        <v>14</v>
      </c>
      <c r="P10" t="s">
        <v>20</v>
      </c>
      <c r="Q10" t="s">
        <v>16</v>
      </c>
      <c r="T10" s="18">
        <v>0</v>
      </c>
      <c r="W10" s="19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132433768</v>
      </c>
      <c r="B11">
        <v>2029462344</v>
      </c>
      <c r="C11">
        <v>247</v>
      </c>
      <c r="E11" t="s">
        <v>10</v>
      </c>
      <c r="F11" t="s">
        <v>261</v>
      </c>
      <c r="G11">
        <v>1</v>
      </c>
      <c r="H11">
        <v>3</v>
      </c>
      <c r="I11">
        <v>0</v>
      </c>
      <c r="J11">
        <v>3</v>
      </c>
      <c r="K11" t="s">
        <v>18</v>
      </c>
      <c r="L11" s="18">
        <v>0.60416666666666663</v>
      </c>
      <c r="M11" t="s">
        <v>18</v>
      </c>
      <c r="N11" s="18">
        <v>0.72916666666666663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123523086</v>
      </c>
      <c r="B12">
        <v>2029637692</v>
      </c>
      <c r="C12">
        <v>360</v>
      </c>
      <c r="E12" t="s">
        <v>10</v>
      </c>
      <c r="F12" t="s">
        <v>262</v>
      </c>
      <c r="G12">
        <v>4</v>
      </c>
      <c r="H12">
        <v>16</v>
      </c>
      <c r="I12">
        <v>0</v>
      </c>
      <c r="J12">
        <v>4</v>
      </c>
      <c r="K12" t="s">
        <v>18</v>
      </c>
      <c r="L12" s="18">
        <v>0.31666666666666665</v>
      </c>
      <c r="M12" t="s">
        <v>18</v>
      </c>
      <c r="N12" s="18">
        <v>0.48333333333333334</v>
      </c>
      <c r="O12" t="s">
        <v>134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37</v>
      </c>
      <c r="AC12">
        <v>18</v>
      </c>
    </row>
    <row r="13" spans="1:29" x14ac:dyDescent="0.25">
      <c r="A13">
        <v>123523087</v>
      </c>
      <c r="B13">
        <v>2029637692</v>
      </c>
      <c r="C13">
        <v>370</v>
      </c>
      <c r="E13" t="s">
        <v>10</v>
      </c>
      <c r="F13" t="s">
        <v>263</v>
      </c>
      <c r="G13">
        <v>4</v>
      </c>
      <c r="H13">
        <v>16</v>
      </c>
      <c r="I13">
        <v>0</v>
      </c>
      <c r="J13">
        <v>4</v>
      </c>
      <c r="K13" t="s">
        <v>18</v>
      </c>
      <c r="L13" s="18">
        <v>0.48333333333333334</v>
      </c>
      <c r="M13" t="s">
        <v>18</v>
      </c>
      <c r="N13" s="18">
        <v>0.69166666666666665</v>
      </c>
      <c r="O13" t="s">
        <v>134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37</v>
      </c>
      <c r="AC13">
        <v>18</v>
      </c>
    </row>
    <row r="14" spans="1:29" x14ac:dyDescent="0.25">
      <c r="A14">
        <v>122615312</v>
      </c>
      <c r="B14">
        <v>2029637692</v>
      </c>
      <c r="C14">
        <v>400</v>
      </c>
      <c r="E14" t="s">
        <v>10</v>
      </c>
      <c r="F14" t="s">
        <v>264</v>
      </c>
      <c r="G14">
        <v>4</v>
      </c>
      <c r="H14">
        <v>24</v>
      </c>
      <c r="I14">
        <v>0</v>
      </c>
      <c r="J14">
        <v>6</v>
      </c>
      <c r="K14" t="s">
        <v>18</v>
      </c>
      <c r="L14" s="18">
        <v>0.69166666666666665</v>
      </c>
      <c r="M14" t="s">
        <v>19</v>
      </c>
      <c r="N14" s="18">
        <v>0.56666666666666665</v>
      </c>
      <c r="O14" t="s">
        <v>134</v>
      </c>
      <c r="P14" t="s">
        <v>20</v>
      </c>
      <c r="Q14" t="s">
        <v>16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37</v>
      </c>
      <c r="AC14">
        <v>18</v>
      </c>
    </row>
    <row r="15" spans="1:29" x14ac:dyDescent="0.25">
      <c r="A15">
        <v>122615317</v>
      </c>
      <c r="B15">
        <v>2029637692</v>
      </c>
      <c r="C15">
        <v>460</v>
      </c>
      <c r="E15" t="s">
        <v>10</v>
      </c>
      <c r="F15" t="s">
        <v>265</v>
      </c>
      <c r="G15">
        <v>2</v>
      </c>
      <c r="H15">
        <v>8</v>
      </c>
      <c r="I15">
        <v>0</v>
      </c>
      <c r="J15">
        <v>4</v>
      </c>
      <c r="K15" t="s">
        <v>19</v>
      </c>
      <c r="L15" s="18">
        <v>0.56666666666666665</v>
      </c>
      <c r="M15" t="s">
        <v>33</v>
      </c>
      <c r="N15" s="18">
        <v>0.31666666666666665</v>
      </c>
      <c r="O15" t="s">
        <v>134</v>
      </c>
      <c r="P15" t="s">
        <v>20</v>
      </c>
      <c r="Q15" t="s">
        <v>16</v>
      </c>
      <c r="T15" s="18">
        <v>0</v>
      </c>
      <c r="W15" s="19">
        <v>0</v>
      </c>
      <c r="Y15">
        <v>0</v>
      </c>
      <c r="Z15">
        <v>0</v>
      </c>
      <c r="AA15">
        <v>2</v>
      </c>
      <c r="AB15" t="s">
        <v>37</v>
      </c>
      <c r="AC15">
        <v>18</v>
      </c>
    </row>
    <row r="16" spans="1:29" x14ac:dyDescent="0.25">
      <c r="A16">
        <v>123166985</v>
      </c>
      <c r="B16">
        <v>2029717491</v>
      </c>
      <c r="C16">
        <v>70</v>
      </c>
      <c r="E16" t="s">
        <v>10</v>
      </c>
      <c r="F16" t="s">
        <v>266</v>
      </c>
      <c r="G16">
        <v>2</v>
      </c>
      <c r="H16">
        <v>6</v>
      </c>
      <c r="I16">
        <v>0</v>
      </c>
      <c r="J16">
        <v>3</v>
      </c>
      <c r="K16" t="s">
        <v>18</v>
      </c>
      <c r="L16" s="18">
        <v>0.6875</v>
      </c>
      <c r="M16" t="s">
        <v>19</v>
      </c>
      <c r="N16" s="18">
        <v>0.39583333333333331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123166990</v>
      </c>
      <c r="B17">
        <v>2029717491</v>
      </c>
      <c r="C17">
        <v>90</v>
      </c>
      <c r="E17" t="s">
        <v>10</v>
      </c>
      <c r="F17" t="s">
        <v>267</v>
      </c>
      <c r="G17">
        <v>2</v>
      </c>
      <c r="H17">
        <v>12</v>
      </c>
      <c r="I17">
        <v>0</v>
      </c>
      <c r="J17">
        <v>6</v>
      </c>
      <c r="K17" t="s">
        <v>33</v>
      </c>
      <c r="L17" s="18">
        <v>0.35416666666666669</v>
      </c>
      <c r="M17" t="s">
        <v>33</v>
      </c>
      <c r="N17" s="18">
        <v>0.64583333333333337</v>
      </c>
      <c r="O17" t="s">
        <v>14</v>
      </c>
      <c r="P17" t="s">
        <v>20</v>
      </c>
      <c r="Q17" t="s">
        <v>16</v>
      </c>
      <c r="T17" s="18">
        <v>0</v>
      </c>
      <c r="W17" s="19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125098423</v>
      </c>
      <c r="B18">
        <v>2030084529</v>
      </c>
      <c r="C18">
        <v>10</v>
      </c>
      <c r="E18" t="s">
        <v>10</v>
      </c>
      <c r="F18" t="s">
        <v>268</v>
      </c>
      <c r="G18">
        <v>2</v>
      </c>
      <c r="H18">
        <v>8</v>
      </c>
      <c r="I18">
        <v>0</v>
      </c>
      <c r="J18">
        <v>4</v>
      </c>
      <c r="K18" t="s">
        <v>19</v>
      </c>
      <c r="L18" s="18">
        <v>0.61250000000000004</v>
      </c>
      <c r="M18" t="s">
        <v>33</v>
      </c>
      <c r="N18" s="18">
        <v>0.36249999999999999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B18" t="s">
        <v>37</v>
      </c>
      <c r="AC18">
        <v>18</v>
      </c>
    </row>
    <row r="19" spans="1:29" x14ac:dyDescent="0.25">
      <c r="A19">
        <v>126536760</v>
      </c>
      <c r="B19">
        <v>2030285633</v>
      </c>
      <c r="C19">
        <v>10</v>
      </c>
      <c r="E19" t="s">
        <v>10</v>
      </c>
      <c r="F19" t="s">
        <v>269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0.3125</v>
      </c>
      <c r="M19" t="s">
        <v>13</v>
      </c>
      <c r="N19" s="18">
        <v>0.39583333333333331</v>
      </c>
      <c r="O19" t="s">
        <v>14</v>
      </c>
      <c r="P19" t="s">
        <v>20</v>
      </c>
      <c r="Q19" t="s">
        <v>16</v>
      </c>
      <c r="T19" s="18">
        <v>0</v>
      </c>
      <c r="W19" s="19">
        <v>1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127122608</v>
      </c>
      <c r="B20">
        <v>2030285633</v>
      </c>
      <c r="C20">
        <v>40</v>
      </c>
      <c r="E20" t="s">
        <v>10</v>
      </c>
      <c r="F20" t="s">
        <v>270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0.6875</v>
      </c>
      <c r="M20" t="s">
        <v>21</v>
      </c>
      <c r="N20" s="18">
        <v>0.35416666666666669</v>
      </c>
      <c r="O20" t="s">
        <v>14</v>
      </c>
      <c r="P20" t="s">
        <v>20</v>
      </c>
      <c r="Q20" t="s">
        <v>16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126536761</v>
      </c>
      <c r="B21">
        <v>2030285634</v>
      </c>
      <c r="C21">
        <v>10</v>
      </c>
      <c r="E21" t="s">
        <v>10</v>
      </c>
      <c r="F21" t="s">
        <v>271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A21">
        <v>1</v>
      </c>
      <c r="AB21" t="s">
        <v>37</v>
      </c>
      <c r="AC21">
        <v>18</v>
      </c>
    </row>
    <row r="22" spans="1:29" x14ac:dyDescent="0.25">
      <c r="A22">
        <v>127122602</v>
      </c>
      <c r="B22">
        <v>2030285634</v>
      </c>
      <c r="C22">
        <v>40</v>
      </c>
      <c r="E22" t="s">
        <v>10</v>
      </c>
      <c r="F22" t="s">
        <v>272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0.6875</v>
      </c>
      <c r="M22" t="s">
        <v>21</v>
      </c>
      <c r="N22" s="18">
        <v>0.35416666666666669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127712837</v>
      </c>
      <c r="B23">
        <v>2030477005</v>
      </c>
      <c r="C23">
        <v>20</v>
      </c>
      <c r="E23" t="s">
        <v>10</v>
      </c>
      <c r="F23" t="s">
        <v>273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0.60416666666666663</v>
      </c>
      <c r="M23" t="s">
        <v>13</v>
      </c>
      <c r="N23" s="18">
        <v>0.72916666666666663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128386024</v>
      </c>
      <c r="B24">
        <v>2030477005</v>
      </c>
      <c r="C24">
        <v>50</v>
      </c>
      <c r="E24" t="s">
        <v>10</v>
      </c>
      <c r="F24" t="s">
        <v>274</v>
      </c>
      <c r="G24">
        <v>2</v>
      </c>
      <c r="H24">
        <v>4</v>
      </c>
      <c r="I24">
        <v>0</v>
      </c>
      <c r="J24">
        <v>2</v>
      </c>
      <c r="K24" t="s">
        <v>21</v>
      </c>
      <c r="L24" s="18">
        <v>0.60416666666666663</v>
      </c>
      <c r="M24" t="s">
        <v>21</v>
      </c>
      <c r="N24" s="18">
        <v>0.6875</v>
      </c>
      <c r="O24" t="s">
        <v>14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128383214</v>
      </c>
      <c r="B25">
        <v>2030477435</v>
      </c>
      <c r="C25">
        <v>50</v>
      </c>
      <c r="E25" t="s">
        <v>10</v>
      </c>
      <c r="F25" t="s">
        <v>275</v>
      </c>
      <c r="G25">
        <v>2</v>
      </c>
      <c r="H25">
        <v>4</v>
      </c>
      <c r="I25">
        <v>0</v>
      </c>
      <c r="J25">
        <v>2</v>
      </c>
      <c r="K25" t="s">
        <v>21</v>
      </c>
      <c r="L25" s="18">
        <v>0.48333333333333334</v>
      </c>
      <c r="M25" t="s">
        <v>21</v>
      </c>
      <c r="N25" s="18">
        <v>0.60833333333333328</v>
      </c>
      <c r="O25" t="s">
        <v>134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128633332</v>
      </c>
      <c r="B26">
        <v>2030506838</v>
      </c>
      <c r="C26">
        <v>320</v>
      </c>
      <c r="E26" t="s">
        <v>10</v>
      </c>
      <c r="F26" t="s">
        <v>276</v>
      </c>
      <c r="G26">
        <v>2</v>
      </c>
      <c r="H26">
        <v>12</v>
      </c>
      <c r="I26">
        <v>0</v>
      </c>
      <c r="J26">
        <v>6</v>
      </c>
      <c r="K26" t="s">
        <v>21</v>
      </c>
      <c r="L26" s="18">
        <v>0.64583333333333337</v>
      </c>
      <c r="M26" t="s">
        <v>18</v>
      </c>
      <c r="N26" s="18">
        <v>0.47916666666666669</v>
      </c>
      <c r="O26" t="s">
        <v>134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132132918</v>
      </c>
      <c r="B27">
        <v>2031083233</v>
      </c>
      <c r="C27">
        <v>30</v>
      </c>
      <c r="D27">
        <v>10</v>
      </c>
      <c r="E27" t="s">
        <v>10</v>
      </c>
      <c r="F27" t="s">
        <v>277</v>
      </c>
      <c r="G27">
        <v>1</v>
      </c>
      <c r="H27">
        <v>2</v>
      </c>
      <c r="I27">
        <v>0</v>
      </c>
      <c r="J27">
        <v>2</v>
      </c>
      <c r="K27" t="s">
        <v>19</v>
      </c>
      <c r="L27" s="18">
        <v>0.4375</v>
      </c>
      <c r="M27" t="s">
        <v>19</v>
      </c>
      <c r="N27" s="18">
        <v>0.5625</v>
      </c>
      <c r="O27" t="s">
        <v>278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37</v>
      </c>
      <c r="AC27">
        <v>18</v>
      </c>
    </row>
    <row r="28" spans="1:29" x14ac:dyDescent="0.25">
      <c r="A28">
        <v>132599313</v>
      </c>
      <c r="B28">
        <v>2031172620</v>
      </c>
      <c r="C28">
        <v>10</v>
      </c>
      <c r="E28" t="s">
        <v>10</v>
      </c>
      <c r="F28" t="s">
        <v>279</v>
      </c>
      <c r="G28">
        <v>2</v>
      </c>
      <c r="H28">
        <v>4</v>
      </c>
      <c r="I28">
        <v>0</v>
      </c>
      <c r="J28">
        <v>2</v>
      </c>
      <c r="K28" t="s">
        <v>33</v>
      </c>
      <c r="L28" s="18">
        <v>0.36249999999999999</v>
      </c>
      <c r="M28" t="s">
        <v>33</v>
      </c>
      <c r="N28" s="18">
        <v>0.44583333333333336</v>
      </c>
      <c r="O28" t="s">
        <v>14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132525580</v>
      </c>
      <c r="B29">
        <v>2031172620</v>
      </c>
      <c r="C29">
        <v>20</v>
      </c>
      <c r="E29" t="s">
        <v>10</v>
      </c>
      <c r="F29" t="s">
        <v>280</v>
      </c>
      <c r="G29">
        <v>2</v>
      </c>
      <c r="H29">
        <v>2</v>
      </c>
      <c r="I29">
        <v>0</v>
      </c>
      <c r="J29">
        <v>1</v>
      </c>
      <c r="K29" t="s">
        <v>33</v>
      </c>
      <c r="L29" s="18">
        <v>0.44583333333333336</v>
      </c>
      <c r="M29" t="s">
        <v>33</v>
      </c>
      <c r="N29" s="18">
        <v>0.48749999999999999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132599301</v>
      </c>
      <c r="B30">
        <v>2031172620</v>
      </c>
      <c r="C30">
        <v>40</v>
      </c>
      <c r="E30" t="s">
        <v>10</v>
      </c>
      <c r="F30" t="s">
        <v>281</v>
      </c>
      <c r="G30">
        <v>2</v>
      </c>
      <c r="H30">
        <v>4</v>
      </c>
      <c r="I30">
        <v>0</v>
      </c>
      <c r="J30">
        <v>2</v>
      </c>
      <c r="K30" t="s">
        <v>33</v>
      </c>
      <c r="L30" s="18">
        <v>0.61250000000000004</v>
      </c>
      <c r="M30" t="s">
        <v>244</v>
      </c>
      <c r="N30" s="18">
        <v>0.32083333333333336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133604769</v>
      </c>
      <c r="B31">
        <v>2031189885</v>
      </c>
      <c r="C31">
        <v>350</v>
      </c>
      <c r="E31" t="s">
        <v>10</v>
      </c>
      <c r="F31" t="s">
        <v>282</v>
      </c>
      <c r="G31">
        <v>2</v>
      </c>
      <c r="H31">
        <v>8</v>
      </c>
      <c r="I31">
        <v>0</v>
      </c>
      <c r="J31">
        <v>4</v>
      </c>
      <c r="K31" t="s">
        <v>13</v>
      </c>
      <c r="L31" s="18">
        <v>0.3125</v>
      </c>
      <c r="M31" t="s">
        <v>13</v>
      </c>
      <c r="N31" s="18">
        <v>0.47916666666666669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37</v>
      </c>
      <c r="AC31">
        <v>18</v>
      </c>
    </row>
    <row r="32" spans="1:29" x14ac:dyDescent="0.25">
      <c r="A32">
        <v>133657388</v>
      </c>
      <c r="B32">
        <v>2031216118</v>
      </c>
      <c r="C32">
        <v>145</v>
      </c>
      <c r="E32" t="s">
        <v>10</v>
      </c>
      <c r="F32" t="s">
        <v>283</v>
      </c>
      <c r="G32">
        <v>2</v>
      </c>
      <c r="H32">
        <v>8</v>
      </c>
      <c r="I32">
        <v>0</v>
      </c>
      <c r="J32">
        <v>4</v>
      </c>
      <c r="K32" t="s">
        <v>13</v>
      </c>
      <c r="L32" s="18">
        <v>0.6875</v>
      </c>
      <c r="M32" t="s">
        <v>21</v>
      </c>
      <c r="N32" s="18">
        <v>0.4375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37</v>
      </c>
      <c r="AC32">
        <v>18</v>
      </c>
    </row>
    <row r="33" spans="1:29" x14ac:dyDescent="0.25">
      <c r="A33">
        <v>133656451</v>
      </c>
      <c r="B33">
        <v>2031360214</v>
      </c>
      <c r="C33">
        <v>10</v>
      </c>
      <c r="E33" t="s">
        <v>10</v>
      </c>
      <c r="F33" t="s">
        <v>284</v>
      </c>
      <c r="G33">
        <v>2</v>
      </c>
      <c r="H33">
        <v>2</v>
      </c>
      <c r="I33">
        <v>0</v>
      </c>
      <c r="J33">
        <v>1</v>
      </c>
      <c r="K33" t="s">
        <v>13</v>
      </c>
      <c r="L33" s="18">
        <v>0.39583333333333331</v>
      </c>
      <c r="M33" t="s">
        <v>13</v>
      </c>
      <c r="N33" s="18">
        <v>0.4375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A33">
        <v>2</v>
      </c>
      <c r="AB33" t="s">
        <v>37</v>
      </c>
      <c r="AC33">
        <v>18</v>
      </c>
    </row>
    <row r="34" spans="1:29" x14ac:dyDescent="0.25">
      <c r="A34">
        <v>133656456</v>
      </c>
      <c r="B34">
        <v>2031360214</v>
      </c>
      <c r="C34">
        <v>40</v>
      </c>
      <c r="E34" t="s">
        <v>10</v>
      </c>
      <c r="F34" t="s">
        <v>285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0.69166666666666665</v>
      </c>
      <c r="M34" t="s">
        <v>21</v>
      </c>
      <c r="N34" s="18">
        <v>0.31666666666666665</v>
      </c>
      <c r="O34" t="s">
        <v>14</v>
      </c>
      <c r="P34" t="s">
        <v>20</v>
      </c>
      <c r="Q34" t="s">
        <v>16</v>
      </c>
      <c r="T34" s="18">
        <v>0</v>
      </c>
      <c r="W34" s="19">
        <v>1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18</v>
      </c>
    </row>
    <row r="35" spans="1:29" x14ac:dyDescent="0.25">
      <c r="A35">
        <v>133657415</v>
      </c>
      <c r="B35">
        <v>2031360214</v>
      </c>
      <c r="C35">
        <v>140</v>
      </c>
      <c r="E35" t="s">
        <v>10</v>
      </c>
      <c r="F35" t="s">
        <v>286</v>
      </c>
      <c r="G35">
        <v>1</v>
      </c>
      <c r="H35">
        <v>0.2</v>
      </c>
      <c r="I35">
        <v>0</v>
      </c>
      <c r="J35">
        <v>0.2</v>
      </c>
      <c r="K35" t="s">
        <v>21</v>
      </c>
      <c r="L35" s="18">
        <v>0.71250000000000002</v>
      </c>
      <c r="M35" t="s">
        <v>21</v>
      </c>
      <c r="N35" s="18">
        <v>0.72083333333333333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18</v>
      </c>
    </row>
    <row r="36" spans="1:29" x14ac:dyDescent="0.25">
      <c r="A36">
        <v>133656473</v>
      </c>
      <c r="B36">
        <v>2031360216</v>
      </c>
      <c r="C36">
        <v>10</v>
      </c>
      <c r="E36" t="s">
        <v>10</v>
      </c>
      <c r="F36" t="s">
        <v>287</v>
      </c>
      <c r="G36">
        <v>2</v>
      </c>
      <c r="H36">
        <v>6</v>
      </c>
      <c r="I36">
        <v>0</v>
      </c>
      <c r="J36">
        <v>3</v>
      </c>
      <c r="K36" t="s">
        <v>13</v>
      </c>
      <c r="L36" s="18">
        <v>0.39583333333333331</v>
      </c>
      <c r="M36" t="s">
        <v>13</v>
      </c>
      <c r="N36" s="18">
        <v>0.5625</v>
      </c>
      <c r="O36" t="s">
        <v>14</v>
      </c>
      <c r="P36" t="s">
        <v>20</v>
      </c>
      <c r="Q36" t="s">
        <v>16</v>
      </c>
      <c r="T36" s="18">
        <v>0</v>
      </c>
      <c r="W36" s="19">
        <v>1</v>
      </c>
      <c r="X36" t="s">
        <v>56</v>
      </c>
      <c r="Y36">
        <v>0</v>
      </c>
      <c r="Z36">
        <v>0</v>
      </c>
      <c r="AA36">
        <v>2</v>
      </c>
      <c r="AB36" t="s">
        <v>37</v>
      </c>
      <c r="AC36">
        <v>18</v>
      </c>
    </row>
    <row r="37" spans="1:29" x14ac:dyDescent="0.25">
      <c r="A37">
        <v>133656478</v>
      </c>
      <c r="B37">
        <v>2031360216</v>
      </c>
      <c r="C37">
        <v>40</v>
      </c>
      <c r="E37" t="s">
        <v>10</v>
      </c>
      <c r="F37" t="s">
        <v>288</v>
      </c>
      <c r="G37">
        <v>2</v>
      </c>
      <c r="H37">
        <v>6</v>
      </c>
      <c r="I37">
        <v>0</v>
      </c>
      <c r="J37">
        <v>3</v>
      </c>
      <c r="K37" t="s">
        <v>21</v>
      </c>
      <c r="L37" s="18">
        <v>0.35833333333333334</v>
      </c>
      <c r="M37" t="s">
        <v>21</v>
      </c>
      <c r="N37" s="18">
        <v>0.48333333333333334</v>
      </c>
      <c r="O37" t="s">
        <v>14</v>
      </c>
      <c r="P37" t="s">
        <v>20</v>
      </c>
      <c r="Q37" t="s">
        <v>16</v>
      </c>
      <c r="T37" s="18">
        <v>0</v>
      </c>
      <c r="W37" s="19">
        <v>1</v>
      </c>
      <c r="X37" t="s">
        <v>56</v>
      </c>
      <c r="Y37">
        <v>0</v>
      </c>
      <c r="Z37">
        <v>0</v>
      </c>
      <c r="AA37">
        <v>2</v>
      </c>
      <c r="AB37" t="s">
        <v>37</v>
      </c>
      <c r="AC37">
        <v>18</v>
      </c>
    </row>
    <row r="38" spans="1:29" x14ac:dyDescent="0.25">
      <c r="A38">
        <v>133657410</v>
      </c>
      <c r="B38">
        <v>2031360216</v>
      </c>
      <c r="C38">
        <v>140</v>
      </c>
      <c r="E38" t="s">
        <v>10</v>
      </c>
      <c r="F38" t="s">
        <v>289</v>
      </c>
      <c r="G38">
        <v>1</v>
      </c>
      <c r="H38">
        <v>0.2</v>
      </c>
      <c r="I38">
        <v>0</v>
      </c>
      <c r="J38">
        <v>0.2</v>
      </c>
      <c r="K38" t="s">
        <v>18</v>
      </c>
      <c r="L38" s="18">
        <v>0.46250000000000002</v>
      </c>
      <c r="M38" t="s">
        <v>18</v>
      </c>
      <c r="N38" s="18">
        <v>0.47083333333333333</v>
      </c>
      <c r="O38" t="s">
        <v>14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A38">
        <v>2</v>
      </c>
      <c r="AB38" t="s">
        <v>37</v>
      </c>
      <c r="AC38">
        <v>18</v>
      </c>
    </row>
    <row r="39" spans="1:29" x14ac:dyDescent="0.25">
      <c r="A39">
        <v>133656527</v>
      </c>
      <c r="B39">
        <v>2031360219</v>
      </c>
      <c r="C39">
        <v>10</v>
      </c>
      <c r="E39" t="s">
        <v>10</v>
      </c>
      <c r="F39" t="s">
        <v>290</v>
      </c>
      <c r="G39">
        <v>2</v>
      </c>
      <c r="H39">
        <v>6</v>
      </c>
      <c r="I39">
        <v>0</v>
      </c>
      <c r="J39">
        <v>3</v>
      </c>
      <c r="K39" t="s">
        <v>13</v>
      </c>
      <c r="L39" s="18">
        <v>0.39583333333333331</v>
      </c>
      <c r="M39" t="s">
        <v>13</v>
      </c>
      <c r="N39" s="18">
        <v>0.5625</v>
      </c>
      <c r="O39" t="s">
        <v>14</v>
      </c>
      <c r="P39" t="s">
        <v>20</v>
      </c>
      <c r="Q39" t="s">
        <v>16</v>
      </c>
      <c r="T39" s="18">
        <v>0</v>
      </c>
      <c r="W39" s="19">
        <v>1</v>
      </c>
      <c r="X39" t="s">
        <v>56</v>
      </c>
      <c r="Y39">
        <v>0</v>
      </c>
      <c r="Z39">
        <v>0</v>
      </c>
      <c r="AA39">
        <v>2</v>
      </c>
      <c r="AB39" t="s">
        <v>37</v>
      </c>
      <c r="AC39">
        <v>18</v>
      </c>
    </row>
    <row r="40" spans="1:29" x14ac:dyDescent="0.25">
      <c r="A40">
        <v>133656532</v>
      </c>
      <c r="B40">
        <v>2031360219</v>
      </c>
      <c r="C40">
        <v>40</v>
      </c>
      <c r="E40" t="s">
        <v>10</v>
      </c>
      <c r="F40" t="s">
        <v>291</v>
      </c>
      <c r="G40">
        <v>2</v>
      </c>
      <c r="H40">
        <v>6</v>
      </c>
      <c r="I40">
        <v>0</v>
      </c>
      <c r="J40">
        <v>3</v>
      </c>
      <c r="K40" t="s">
        <v>21</v>
      </c>
      <c r="L40" s="18">
        <v>0.35833333333333334</v>
      </c>
      <c r="M40" t="s">
        <v>21</v>
      </c>
      <c r="N40" s="18">
        <v>0.48333333333333334</v>
      </c>
      <c r="O40" t="s">
        <v>14</v>
      </c>
      <c r="P40" t="s">
        <v>20</v>
      </c>
      <c r="Q40" t="s">
        <v>16</v>
      </c>
      <c r="T40" s="18">
        <v>0</v>
      </c>
      <c r="W40" s="19">
        <v>1</v>
      </c>
      <c r="X40" t="s">
        <v>56</v>
      </c>
      <c r="Y40">
        <v>0</v>
      </c>
      <c r="Z40">
        <v>0</v>
      </c>
      <c r="AA40">
        <v>2</v>
      </c>
      <c r="AB40" t="s">
        <v>37</v>
      </c>
      <c r="AC40">
        <v>18</v>
      </c>
    </row>
    <row r="41" spans="1:29" x14ac:dyDescent="0.25">
      <c r="A41">
        <v>133657416</v>
      </c>
      <c r="B41">
        <v>2031360219</v>
      </c>
      <c r="C41">
        <v>140</v>
      </c>
      <c r="E41" t="s">
        <v>10</v>
      </c>
      <c r="F41" t="s">
        <v>292</v>
      </c>
      <c r="G41">
        <v>1</v>
      </c>
      <c r="H41">
        <v>0.2</v>
      </c>
      <c r="I41">
        <v>0</v>
      </c>
      <c r="J41">
        <v>0.2</v>
      </c>
      <c r="K41" t="s">
        <v>18</v>
      </c>
      <c r="L41" s="18">
        <v>0.54583333333333328</v>
      </c>
      <c r="M41" t="s">
        <v>18</v>
      </c>
      <c r="N41" s="18">
        <v>0.5541666666666667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32"/>
  <sheetViews>
    <sheetView workbookViewId="0">
      <selection activeCell="G51" sqref="G5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372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122762370</v>
      </c>
      <c r="B3">
        <v>2028171056</v>
      </c>
      <c r="C3">
        <v>250</v>
      </c>
      <c r="E3" t="s">
        <v>11</v>
      </c>
      <c r="F3" t="s">
        <v>90</v>
      </c>
      <c r="G3">
        <v>4</v>
      </c>
      <c r="H3">
        <v>12</v>
      </c>
      <c r="I3">
        <v>0</v>
      </c>
      <c r="J3">
        <v>3</v>
      </c>
      <c r="K3" t="s">
        <v>13</v>
      </c>
      <c r="L3" s="18">
        <v>0.5625</v>
      </c>
      <c r="M3" t="s">
        <v>13</v>
      </c>
      <c r="N3" s="18">
        <v>0.6875</v>
      </c>
      <c r="O3" t="s">
        <v>91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119941822</v>
      </c>
      <c r="B4">
        <v>2028324340</v>
      </c>
      <c r="C4">
        <v>110</v>
      </c>
      <c r="E4" t="s">
        <v>11</v>
      </c>
      <c r="F4" t="s">
        <v>92</v>
      </c>
      <c r="G4">
        <v>4</v>
      </c>
      <c r="H4">
        <v>8</v>
      </c>
      <c r="I4">
        <v>0</v>
      </c>
      <c r="J4">
        <v>2</v>
      </c>
      <c r="K4" t="s">
        <v>13</v>
      </c>
      <c r="L4" s="18">
        <v>0.35416666666666669</v>
      </c>
      <c r="M4" t="s">
        <v>13</v>
      </c>
      <c r="N4" s="18">
        <v>0.4375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120478053</v>
      </c>
      <c r="B5">
        <v>2029330976</v>
      </c>
      <c r="C5">
        <v>10</v>
      </c>
      <c r="E5" t="s">
        <v>11</v>
      </c>
      <c r="F5" t="s">
        <v>93</v>
      </c>
      <c r="G5">
        <v>4</v>
      </c>
      <c r="H5">
        <v>16</v>
      </c>
      <c r="I5">
        <v>0</v>
      </c>
      <c r="J5">
        <v>4</v>
      </c>
      <c r="K5" t="s">
        <v>18</v>
      </c>
      <c r="L5" s="18">
        <v>0.36373842592592592</v>
      </c>
      <c r="M5" t="s">
        <v>18</v>
      </c>
      <c r="N5" s="18">
        <v>0.57207175925925924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120844425</v>
      </c>
      <c r="B6">
        <v>2029381301</v>
      </c>
      <c r="C6">
        <v>95</v>
      </c>
      <c r="E6" t="s">
        <v>11</v>
      </c>
      <c r="F6" t="s">
        <v>94</v>
      </c>
      <c r="G6">
        <v>4</v>
      </c>
      <c r="H6">
        <v>8</v>
      </c>
      <c r="I6">
        <v>0</v>
      </c>
      <c r="J6">
        <v>2</v>
      </c>
      <c r="K6" t="s">
        <v>18</v>
      </c>
      <c r="L6" s="18">
        <v>0.6875</v>
      </c>
      <c r="M6" t="s">
        <v>19</v>
      </c>
      <c r="N6" s="18">
        <v>0.35416666666666669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120774619</v>
      </c>
      <c r="B7">
        <v>2029381593</v>
      </c>
      <c r="C7">
        <v>10</v>
      </c>
      <c r="E7" t="s">
        <v>11</v>
      </c>
      <c r="F7" t="s">
        <v>95</v>
      </c>
      <c r="G7">
        <v>4</v>
      </c>
      <c r="H7">
        <v>16</v>
      </c>
      <c r="I7">
        <v>0</v>
      </c>
      <c r="J7">
        <v>4</v>
      </c>
      <c r="K7" t="s">
        <v>18</v>
      </c>
      <c r="L7" s="18">
        <v>0.4375</v>
      </c>
      <c r="M7" t="s">
        <v>18</v>
      </c>
      <c r="N7" s="18">
        <v>0.64583333333333337</v>
      </c>
      <c r="O7" t="s">
        <v>91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121138748</v>
      </c>
      <c r="B8">
        <v>2029392131</v>
      </c>
      <c r="C8">
        <v>355</v>
      </c>
      <c r="E8" t="s">
        <v>11</v>
      </c>
      <c r="F8" t="s">
        <v>96</v>
      </c>
      <c r="G8">
        <v>4</v>
      </c>
      <c r="H8">
        <v>8</v>
      </c>
      <c r="I8">
        <v>0</v>
      </c>
      <c r="J8">
        <v>2</v>
      </c>
      <c r="K8" t="s">
        <v>13</v>
      </c>
      <c r="L8" s="18">
        <v>0.60416666666666663</v>
      </c>
      <c r="M8" t="s">
        <v>13</v>
      </c>
      <c r="N8" s="18">
        <v>0.6875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123519649</v>
      </c>
      <c r="B9">
        <v>2029637692</v>
      </c>
      <c r="C9">
        <v>322</v>
      </c>
      <c r="E9" t="s">
        <v>11</v>
      </c>
      <c r="F9" t="s">
        <v>97</v>
      </c>
      <c r="G9">
        <v>4</v>
      </c>
      <c r="H9">
        <v>24</v>
      </c>
      <c r="I9">
        <v>3.1</v>
      </c>
      <c r="J9">
        <v>6</v>
      </c>
      <c r="K9" t="s">
        <v>13</v>
      </c>
      <c r="L9" s="18">
        <v>0.4375</v>
      </c>
      <c r="M9" t="s">
        <v>13</v>
      </c>
      <c r="N9" s="18">
        <v>0.69707175925925924</v>
      </c>
      <c r="O9" t="s">
        <v>36</v>
      </c>
      <c r="P9" t="s">
        <v>98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18</v>
      </c>
    </row>
    <row r="10" spans="1:29" x14ac:dyDescent="0.25">
      <c r="A10">
        <v>122920063</v>
      </c>
      <c r="B10">
        <v>2029662416</v>
      </c>
      <c r="C10">
        <v>40</v>
      </c>
      <c r="E10" t="s">
        <v>11</v>
      </c>
      <c r="F10" t="s">
        <v>99</v>
      </c>
      <c r="G10">
        <v>4</v>
      </c>
      <c r="H10">
        <v>12</v>
      </c>
      <c r="I10">
        <v>0</v>
      </c>
      <c r="J10">
        <v>3</v>
      </c>
      <c r="K10" t="s">
        <v>19</v>
      </c>
      <c r="L10" s="18">
        <v>0.5708333333333333</v>
      </c>
      <c r="M10" t="s">
        <v>19</v>
      </c>
      <c r="N10" s="18">
        <v>0.6958333333333333</v>
      </c>
      <c r="O10" t="s">
        <v>91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123166993</v>
      </c>
      <c r="B11">
        <v>2029717491</v>
      </c>
      <c r="C11">
        <v>85</v>
      </c>
      <c r="E11" t="s">
        <v>11</v>
      </c>
      <c r="F11" t="s">
        <v>100</v>
      </c>
      <c r="G11">
        <v>4</v>
      </c>
      <c r="H11">
        <v>16</v>
      </c>
      <c r="I11">
        <v>0</v>
      </c>
      <c r="J11">
        <v>4</v>
      </c>
      <c r="K11" t="s">
        <v>19</v>
      </c>
      <c r="L11" s="18">
        <v>0.60416666666666663</v>
      </c>
      <c r="M11" t="s">
        <v>33</v>
      </c>
      <c r="N11" s="18">
        <v>0.35416666666666669</v>
      </c>
      <c r="O11" t="s">
        <v>91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125191748</v>
      </c>
      <c r="B12">
        <v>2030059635</v>
      </c>
      <c r="C12">
        <v>291</v>
      </c>
      <c r="E12" t="s">
        <v>11</v>
      </c>
      <c r="F12" t="s">
        <v>101</v>
      </c>
      <c r="G12">
        <v>4</v>
      </c>
      <c r="H12">
        <v>16</v>
      </c>
      <c r="I12">
        <v>0</v>
      </c>
      <c r="J12">
        <v>4</v>
      </c>
      <c r="K12" t="s">
        <v>19</v>
      </c>
      <c r="L12" s="18">
        <v>0.36249999999999999</v>
      </c>
      <c r="M12" t="s">
        <v>19</v>
      </c>
      <c r="N12" s="18">
        <v>0.5708333333333333</v>
      </c>
      <c r="O12" t="s">
        <v>91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131759252</v>
      </c>
      <c r="B13">
        <v>2030150453</v>
      </c>
      <c r="C13">
        <v>130</v>
      </c>
      <c r="E13" t="s">
        <v>11</v>
      </c>
      <c r="F13" t="s">
        <v>102</v>
      </c>
      <c r="G13">
        <v>4</v>
      </c>
      <c r="H13">
        <v>16</v>
      </c>
      <c r="I13">
        <v>0</v>
      </c>
      <c r="J13">
        <v>4</v>
      </c>
      <c r="K13" t="s">
        <v>21</v>
      </c>
      <c r="L13" s="18">
        <v>0.3125</v>
      </c>
      <c r="M13" t="s">
        <v>21</v>
      </c>
      <c r="N13" s="18">
        <v>0.47916666666666669</v>
      </c>
      <c r="O13" t="s">
        <v>91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127646022</v>
      </c>
      <c r="B14">
        <v>2030477005</v>
      </c>
      <c r="C14">
        <v>10</v>
      </c>
      <c r="E14" t="s">
        <v>11</v>
      </c>
      <c r="F14" t="s">
        <v>103</v>
      </c>
      <c r="G14">
        <v>4</v>
      </c>
      <c r="H14">
        <v>24</v>
      </c>
      <c r="I14">
        <v>0</v>
      </c>
      <c r="J14">
        <v>6</v>
      </c>
      <c r="K14" t="s">
        <v>13</v>
      </c>
      <c r="L14" s="18">
        <v>0.3125</v>
      </c>
      <c r="M14" t="s">
        <v>13</v>
      </c>
      <c r="N14" s="18">
        <v>0.60416666666666663</v>
      </c>
      <c r="O14" t="s">
        <v>91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128386025</v>
      </c>
      <c r="B15">
        <v>2030477005</v>
      </c>
      <c r="C15">
        <v>60</v>
      </c>
      <c r="E15" t="s">
        <v>11</v>
      </c>
      <c r="F15" t="s">
        <v>103</v>
      </c>
      <c r="G15">
        <v>4</v>
      </c>
      <c r="H15">
        <v>12</v>
      </c>
      <c r="I15">
        <v>0</v>
      </c>
      <c r="J15">
        <v>3</v>
      </c>
      <c r="K15" t="s">
        <v>21</v>
      </c>
      <c r="L15" s="18">
        <v>0.6875</v>
      </c>
      <c r="M15" t="s">
        <v>18</v>
      </c>
      <c r="N15" s="18">
        <v>0.39583333333333331</v>
      </c>
      <c r="O15" t="s">
        <v>91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127646023</v>
      </c>
      <c r="B16">
        <v>2030477166</v>
      </c>
      <c r="C16">
        <v>10</v>
      </c>
      <c r="E16" t="s">
        <v>11</v>
      </c>
      <c r="F16" t="s">
        <v>104</v>
      </c>
      <c r="G16">
        <v>4</v>
      </c>
      <c r="H16">
        <v>12</v>
      </c>
      <c r="I16">
        <v>0</v>
      </c>
      <c r="J16">
        <v>3</v>
      </c>
      <c r="K16" t="s">
        <v>33</v>
      </c>
      <c r="L16" s="18">
        <v>0.54166666666666663</v>
      </c>
      <c r="M16" t="s">
        <v>33</v>
      </c>
      <c r="N16" s="18">
        <v>0.66666666666666663</v>
      </c>
      <c r="O16" t="s">
        <v>91</v>
      </c>
      <c r="P16" t="s">
        <v>20</v>
      </c>
      <c r="Q16" t="s">
        <v>16</v>
      </c>
      <c r="T16" s="18">
        <v>0</v>
      </c>
      <c r="W16" s="19">
        <v>1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128383215</v>
      </c>
      <c r="B17">
        <v>2030477435</v>
      </c>
      <c r="C17">
        <v>60</v>
      </c>
      <c r="E17" t="s">
        <v>11</v>
      </c>
      <c r="F17" t="s">
        <v>105</v>
      </c>
      <c r="G17">
        <v>4</v>
      </c>
      <c r="H17">
        <v>16</v>
      </c>
      <c r="I17">
        <v>0</v>
      </c>
      <c r="J17">
        <v>4</v>
      </c>
      <c r="K17" t="s">
        <v>21</v>
      </c>
      <c r="L17" s="18">
        <v>0.61250000000000004</v>
      </c>
      <c r="M17" t="s">
        <v>18</v>
      </c>
      <c r="N17" s="18">
        <v>0.36249999999999999</v>
      </c>
      <c r="O17" t="s">
        <v>36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128622594</v>
      </c>
      <c r="B18">
        <v>2030579891</v>
      </c>
      <c r="C18">
        <v>50</v>
      </c>
      <c r="E18" t="s">
        <v>11</v>
      </c>
      <c r="F18" t="s">
        <v>106</v>
      </c>
      <c r="G18">
        <v>4</v>
      </c>
      <c r="H18">
        <v>24</v>
      </c>
      <c r="I18">
        <v>0</v>
      </c>
      <c r="J18">
        <v>6</v>
      </c>
      <c r="K18" t="s">
        <v>18</v>
      </c>
      <c r="L18" s="18">
        <v>0.36249999999999999</v>
      </c>
      <c r="M18" t="s">
        <v>18</v>
      </c>
      <c r="N18" s="18">
        <v>0.65416666666666667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37</v>
      </c>
      <c r="AC18">
        <v>18</v>
      </c>
    </row>
    <row r="19" spans="1:29" x14ac:dyDescent="0.25">
      <c r="A19">
        <v>131434840</v>
      </c>
      <c r="B19">
        <v>2030995548</v>
      </c>
      <c r="C19">
        <v>30</v>
      </c>
      <c r="E19" t="s">
        <v>11</v>
      </c>
      <c r="F19" t="s">
        <v>107</v>
      </c>
      <c r="G19">
        <v>4</v>
      </c>
      <c r="H19">
        <v>8</v>
      </c>
      <c r="I19">
        <v>0</v>
      </c>
      <c r="J19">
        <v>2</v>
      </c>
      <c r="K19" t="s">
        <v>13</v>
      </c>
      <c r="L19" s="18">
        <v>0.39583333333333331</v>
      </c>
      <c r="M19" t="s">
        <v>13</v>
      </c>
      <c r="N19" s="18">
        <v>0.47916666666666669</v>
      </c>
      <c r="O19" t="s">
        <v>36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131941080</v>
      </c>
      <c r="B20">
        <v>2031083233</v>
      </c>
      <c r="C20">
        <v>10</v>
      </c>
      <c r="E20" t="s">
        <v>11</v>
      </c>
      <c r="F20" t="s">
        <v>108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0.65540509259259261</v>
      </c>
      <c r="M20" t="s">
        <v>18</v>
      </c>
      <c r="N20" s="18">
        <v>0.36373842592592592</v>
      </c>
      <c r="O20" t="s">
        <v>91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132720999</v>
      </c>
      <c r="B21">
        <v>2031172620</v>
      </c>
      <c r="C21">
        <v>5</v>
      </c>
      <c r="E21" t="s">
        <v>11</v>
      </c>
      <c r="F21" t="s">
        <v>109</v>
      </c>
      <c r="G21">
        <v>4</v>
      </c>
      <c r="H21">
        <v>12</v>
      </c>
      <c r="I21">
        <v>0</v>
      </c>
      <c r="J21">
        <v>3</v>
      </c>
      <c r="K21" t="s">
        <v>21</v>
      </c>
      <c r="L21" s="18">
        <v>0.6875</v>
      </c>
      <c r="M21" t="s">
        <v>18</v>
      </c>
      <c r="N21" s="18">
        <v>0.39583333333333331</v>
      </c>
      <c r="O21" t="s">
        <v>91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132684766</v>
      </c>
      <c r="B22">
        <v>2031189885</v>
      </c>
      <c r="C22">
        <v>340</v>
      </c>
      <c r="E22" t="s">
        <v>11</v>
      </c>
      <c r="F22" t="s">
        <v>110</v>
      </c>
      <c r="G22">
        <v>4</v>
      </c>
      <c r="H22">
        <v>12</v>
      </c>
      <c r="I22">
        <v>3</v>
      </c>
      <c r="J22">
        <v>3</v>
      </c>
      <c r="K22" t="s">
        <v>13</v>
      </c>
      <c r="L22" s="18">
        <v>0.3125</v>
      </c>
      <c r="M22" t="s">
        <v>13</v>
      </c>
      <c r="N22" s="18">
        <v>0.3125</v>
      </c>
      <c r="O22" t="s">
        <v>91</v>
      </c>
      <c r="P22" t="s">
        <v>98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133604771</v>
      </c>
      <c r="B23">
        <v>2031189885</v>
      </c>
      <c r="C23">
        <v>345</v>
      </c>
      <c r="E23" t="s">
        <v>11</v>
      </c>
      <c r="F23" t="s">
        <v>111</v>
      </c>
      <c r="G23">
        <v>4</v>
      </c>
      <c r="H23">
        <v>8</v>
      </c>
      <c r="I23">
        <v>0</v>
      </c>
      <c r="J23">
        <v>2</v>
      </c>
      <c r="K23" t="s">
        <v>13</v>
      </c>
      <c r="L23" s="18">
        <v>0.3125</v>
      </c>
      <c r="M23" t="s">
        <v>13</v>
      </c>
      <c r="N23" s="18">
        <v>0.39583333333333331</v>
      </c>
      <c r="O23" t="s">
        <v>91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133604773</v>
      </c>
      <c r="B24">
        <v>2031189885</v>
      </c>
      <c r="C24">
        <v>370</v>
      </c>
      <c r="E24" t="s">
        <v>11</v>
      </c>
      <c r="F24" t="s">
        <v>112</v>
      </c>
      <c r="G24">
        <v>4</v>
      </c>
      <c r="H24">
        <v>4</v>
      </c>
      <c r="I24">
        <v>0</v>
      </c>
      <c r="J24">
        <v>1</v>
      </c>
      <c r="K24" t="s">
        <v>13</v>
      </c>
      <c r="L24" s="18">
        <v>0.3125</v>
      </c>
      <c r="M24" t="s">
        <v>13</v>
      </c>
      <c r="N24" s="18">
        <v>0.35416666666666669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133122296</v>
      </c>
      <c r="B25">
        <v>2031211167</v>
      </c>
      <c r="C25">
        <v>60</v>
      </c>
      <c r="E25" t="s">
        <v>11</v>
      </c>
      <c r="F25" t="s">
        <v>113</v>
      </c>
      <c r="G25">
        <v>4</v>
      </c>
      <c r="H25">
        <v>8</v>
      </c>
      <c r="I25">
        <v>0</v>
      </c>
      <c r="J25">
        <v>2</v>
      </c>
      <c r="K25" t="s">
        <v>19</v>
      </c>
      <c r="L25" s="18">
        <v>0.5625</v>
      </c>
      <c r="M25" t="s">
        <v>19</v>
      </c>
      <c r="N25" s="18">
        <v>0.64583333333333337</v>
      </c>
      <c r="O25" t="s">
        <v>91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132755673</v>
      </c>
      <c r="B26">
        <v>2031216118</v>
      </c>
      <c r="C26">
        <v>141</v>
      </c>
      <c r="E26" t="s">
        <v>11</v>
      </c>
      <c r="F26" t="s">
        <v>114</v>
      </c>
      <c r="G26">
        <v>4</v>
      </c>
      <c r="H26">
        <v>32</v>
      </c>
      <c r="I26">
        <v>0</v>
      </c>
      <c r="J26">
        <v>8</v>
      </c>
      <c r="K26" t="s">
        <v>13</v>
      </c>
      <c r="L26" s="18">
        <v>0.3125</v>
      </c>
      <c r="M26" t="s">
        <v>13</v>
      </c>
      <c r="N26" s="18">
        <v>0.6875</v>
      </c>
      <c r="O26" t="s">
        <v>36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133656465</v>
      </c>
      <c r="B27">
        <v>2031360214</v>
      </c>
      <c r="C27">
        <v>5</v>
      </c>
      <c r="E27" t="s">
        <v>11</v>
      </c>
      <c r="F27" t="s">
        <v>115</v>
      </c>
      <c r="G27">
        <v>4</v>
      </c>
      <c r="H27">
        <v>8</v>
      </c>
      <c r="I27">
        <v>0</v>
      </c>
      <c r="J27">
        <v>2</v>
      </c>
      <c r="K27" t="s">
        <v>13</v>
      </c>
      <c r="L27" s="18">
        <v>0.3125</v>
      </c>
      <c r="M27" t="s">
        <v>13</v>
      </c>
      <c r="N27" s="18">
        <v>0.39583333333333331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A27">
        <v>2</v>
      </c>
      <c r="AB27" t="s">
        <v>37</v>
      </c>
      <c r="AC27">
        <v>18</v>
      </c>
    </row>
    <row r="28" spans="1:29" x14ac:dyDescent="0.25">
      <c r="A28">
        <v>133656470</v>
      </c>
      <c r="B28">
        <v>2031360214</v>
      </c>
      <c r="C28">
        <v>130</v>
      </c>
      <c r="E28" t="s">
        <v>11</v>
      </c>
      <c r="F28" t="s">
        <v>116</v>
      </c>
      <c r="G28">
        <v>4</v>
      </c>
      <c r="H28">
        <v>4</v>
      </c>
      <c r="I28">
        <v>0</v>
      </c>
      <c r="J28">
        <v>1</v>
      </c>
      <c r="K28" t="s">
        <v>21</v>
      </c>
      <c r="L28" s="18">
        <v>0.67083333333333328</v>
      </c>
      <c r="M28" t="s">
        <v>21</v>
      </c>
      <c r="N28" s="18">
        <v>0.71250000000000002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133656487</v>
      </c>
      <c r="B29">
        <v>2031360216</v>
      </c>
      <c r="C29">
        <v>5</v>
      </c>
      <c r="E29" t="s">
        <v>11</v>
      </c>
      <c r="F29" t="s">
        <v>117</v>
      </c>
      <c r="G29">
        <v>4</v>
      </c>
      <c r="H29">
        <v>8</v>
      </c>
      <c r="I29">
        <v>0</v>
      </c>
      <c r="J29">
        <v>2</v>
      </c>
      <c r="K29" t="s">
        <v>13</v>
      </c>
      <c r="L29" s="18">
        <v>0.3125</v>
      </c>
      <c r="M29" t="s">
        <v>13</v>
      </c>
      <c r="N29" s="18">
        <v>0.39583333333333331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133656492</v>
      </c>
      <c r="B30">
        <v>2031360216</v>
      </c>
      <c r="C30">
        <v>130</v>
      </c>
      <c r="E30" t="s">
        <v>11</v>
      </c>
      <c r="F30" t="s">
        <v>118</v>
      </c>
      <c r="G30">
        <v>4</v>
      </c>
      <c r="H30">
        <v>4</v>
      </c>
      <c r="I30">
        <v>0</v>
      </c>
      <c r="J30">
        <v>1</v>
      </c>
      <c r="K30" t="s">
        <v>18</v>
      </c>
      <c r="L30" s="18">
        <v>0.42083333333333334</v>
      </c>
      <c r="M30" t="s">
        <v>18</v>
      </c>
      <c r="N30" s="18">
        <v>0.46250000000000002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133656541</v>
      </c>
      <c r="B31">
        <v>2031360219</v>
      </c>
      <c r="C31">
        <v>5</v>
      </c>
      <c r="E31" t="s">
        <v>11</v>
      </c>
      <c r="F31" t="s">
        <v>119</v>
      </c>
      <c r="G31">
        <v>4</v>
      </c>
      <c r="H31">
        <v>8</v>
      </c>
      <c r="I31">
        <v>0</v>
      </c>
      <c r="J31">
        <v>2</v>
      </c>
      <c r="K31" t="s">
        <v>13</v>
      </c>
      <c r="L31" s="18">
        <v>0.3125</v>
      </c>
      <c r="M31" t="s">
        <v>13</v>
      </c>
      <c r="N31" s="18">
        <v>0.39583333333333331</v>
      </c>
      <c r="O31" t="s">
        <v>14</v>
      </c>
      <c r="P31" t="s">
        <v>20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A31">
        <v>2</v>
      </c>
      <c r="AB31" t="s">
        <v>37</v>
      </c>
      <c r="AC31">
        <v>18</v>
      </c>
    </row>
    <row r="32" spans="1:29" x14ac:dyDescent="0.25">
      <c r="A32">
        <v>133656546</v>
      </c>
      <c r="B32">
        <v>2031360219</v>
      </c>
      <c r="C32">
        <v>130</v>
      </c>
      <c r="E32" t="s">
        <v>11</v>
      </c>
      <c r="F32" t="s">
        <v>120</v>
      </c>
      <c r="G32">
        <v>4</v>
      </c>
      <c r="H32">
        <v>4</v>
      </c>
      <c r="I32">
        <v>0</v>
      </c>
      <c r="J32">
        <v>1</v>
      </c>
      <c r="K32" t="s">
        <v>18</v>
      </c>
      <c r="L32" s="18">
        <v>0.46250000000000002</v>
      </c>
      <c r="M32" t="s">
        <v>18</v>
      </c>
      <c r="N32" s="18">
        <v>0.54583333333333328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A32">
        <v>2</v>
      </c>
      <c r="AB32" t="s">
        <v>37</v>
      </c>
      <c r="AC32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35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664.2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107875133</v>
      </c>
      <c r="B3">
        <v>2027174131</v>
      </c>
      <c r="C3">
        <v>90</v>
      </c>
      <c r="E3" t="s">
        <v>9</v>
      </c>
      <c r="F3" t="s">
        <v>64</v>
      </c>
      <c r="G3">
        <v>2</v>
      </c>
      <c r="H3">
        <v>6</v>
      </c>
      <c r="I3">
        <v>0</v>
      </c>
      <c r="J3">
        <v>3</v>
      </c>
      <c r="K3" t="s">
        <v>18</v>
      </c>
      <c r="L3" s="18">
        <v>0.3125</v>
      </c>
      <c r="M3" t="s">
        <v>18</v>
      </c>
      <c r="N3" s="18">
        <v>0.4375</v>
      </c>
      <c r="O3" t="s">
        <v>36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133454356</v>
      </c>
      <c r="B4">
        <v>2027343888</v>
      </c>
      <c r="C4">
        <v>2062</v>
      </c>
      <c r="D4">
        <v>10</v>
      </c>
      <c r="E4" t="s">
        <v>9</v>
      </c>
      <c r="F4" t="s">
        <v>38</v>
      </c>
      <c r="G4">
        <v>1</v>
      </c>
      <c r="H4">
        <v>8</v>
      </c>
      <c r="I4">
        <v>0</v>
      </c>
      <c r="J4">
        <v>8</v>
      </c>
      <c r="K4" t="s">
        <v>13</v>
      </c>
      <c r="L4" s="18">
        <v>0</v>
      </c>
      <c r="M4" t="s">
        <v>13</v>
      </c>
      <c r="N4" s="18">
        <v>0.33333333333333331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133454355</v>
      </c>
      <c r="B5">
        <v>2027343888</v>
      </c>
      <c r="C5">
        <v>2057</v>
      </c>
      <c r="D5">
        <v>10</v>
      </c>
      <c r="E5" t="s">
        <v>9</v>
      </c>
      <c r="F5" t="s">
        <v>38</v>
      </c>
      <c r="G5">
        <v>1</v>
      </c>
      <c r="H5">
        <v>16</v>
      </c>
      <c r="I5">
        <v>0</v>
      </c>
      <c r="J5">
        <v>16</v>
      </c>
      <c r="K5" t="s">
        <v>13</v>
      </c>
      <c r="L5" s="18">
        <v>0.33333333333333331</v>
      </c>
      <c r="M5" t="s">
        <v>13</v>
      </c>
      <c r="N5" s="18">
        <v>1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19</v>
      </c>
    </row>
    <row r="6" spans="1:29" x14ac:dyDescent="0.25">
      <c r="A6">
        <v>133309905</v>
      </c>
      <c r="B6">
        <v>2027343888</v>
      </c>
      <c r="C6">
        <v>2061</v>
      </c>
      <c r="E6" t="s">
        <v>9</v>
      </c>
      <c r="F6" t="s">
        <v>39</v>
      </c>
      <c r="G6">
        <v>4</v>
      </c>
      <c r="H6">
        <v>32</v>
      </c>
      <c r="I6">
        <v>0</v>
      </c>
      <c r="J6">
        <v>8</v>
      </c>
      <c r="K6" t="s">
        <v>13</v>
      </c>
      <c r="L6" s="18">
        <v>0</v>
      </c>
      <c r="M6" t="s">
        <v>13</v>
      </c>
      <c r="N6" s="19">
        <v>0.33333333333333331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133634733</v>
      </c>
      <c r="B7">
        <v>2029379854</v>
      </c>
      <c r="C7">
        <v>74</v>
      </c>
      <c r="E7" t="s">
        <v>9</v>
      </c>
      <c r="F7" t="s">
        <v>40</v>
      </c>
      <c r="G7">
        <v>6</v>
      </c>
      <c r="H7">
        <v>144</v>
      </c>
      <c r="I7">
        <v>0</v>
      </c>
      <c r="J7">
        <v>24</v>
      </c>
      <c r="K7" t="s">
        <v>13</v>
      </c>
      <c r="L7" s="18">
        <v>0</v>
      </c>
      <c r="M7" t="s">
        <v>13</v>
      </c>
      <c r="N7" s="18">
        <v>1</v>
      </c>
      <c r="O7" t="s">
        <v>28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B7" t="s">
        <v>37</v>
      </c>
      <c r="AC7">
        <v>19</v>
      </c>
    </row>
    <row r="8" spans="1:29" x14ac:dyDescent="0.25">
      <c r="A8">
        <v>122209117</v>
      </c>
      <c r="B8">
        <v>2029647241</v>
      </c>
      <c r="C8">
        <v>3010</v>
      </c>
      <c r="E8" t="s">
        <v>9</v>
      </c>
      <c r="F8" t="s">
        <v>41</v>
      </c>
      <c r="G8">
        <v>2</v>
      </c>
      <c r="H8">
        <v>2</v>
      </c>
      <c r="I8">
        <v>0</v>
      </c>
      <c r="J8">
        <v>1</v>
      </c>
      <c r="K8" t="s">
        <v>13</v>
      </c>
      <c r="L8" s="18">
        <v>0</v>
      </c>
      <c r="M8" t="s">
        <v>13</v>
      </c>
      <c r="N8" s="18">
        <v>4.1666666666666664E-2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122209118</v>
      </c>
      <c r="B9">
        <v>2029647241</v>
      </c>
      <c r="C9">
        <v>3020</v>
      </c>
      <c r="E9" t="s">
        <v>9</v>
      </c>
      <c r="F9" t="s">
        <v>42</v>
      </c>
      <c r="G9">
        <v>2</v>
      </c>
      <c r="H9">
        <v>2</v>
      </c>
      <c r="I9">
        <v>0</v>
      </c>
      <c r="J9">
        <v>1</v>
      </c>
      <c r="K9" t="s">
        <v>13</v>
      </c>
      <c r="L9" s="18">
        <v>0</v>
      </c>
      <c r="M9" t="s">
        <v>13</v>
      </c>
      <c r="N9" s="18">
        <v>4.1666666666666664E-2</v>
      </c>
      <c r="O9" t="s">
        <v>28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37</v>
      </c>
      <c r="AC9">
        <v>19</v>
      </c>
    </row>
    <row r="10" spans="1:29" x14ac:dyDescent="0.25">
      <c r="A10">
        <v>131610025</v>
      </c>
      <c r="B10">
        <v>2029780007</v>
      </c>
      <c r="C10">
        <v>2385</v>
      </c>
      <c r="E10" t="s">
        <v>9</v>
      </c>
      <c r="F10" t="s">
        <v>43</v>
      </c>
      <c r="G10">
        <v>1</v>
      </c>
      <c r="H10">
        <v>44</v>
      </c>
      <c r="I10">
        <v>0</v>
      </c>
      <c r="J10">
        <v>44</v>
      </c>
      <c r="K10" t="s">
        <v>13</v>
      </c>
      <c r="L10" s="18">
        <v>0</v>
      </c>
      <c r="M10" t="s">
        <v>21</v>
      </c>
      <c r="N10" s="18">
        <v>0.83333333333333337</v>
      </c>
      <c r="O10" t="s">
        <v>14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B10" t="s">
        <v>37</v>
      </c>
      <c r="AC10">
        <v>19</v>
      </c>
    </row>
    <row r="11" spans="1:29" x14ac:dyDescent="0.25">
      <c r="A11">
        <v>133466684</v>
      </c>
      <c r="B11">
        <v>2029900061</v>
      </c>
      <c r="C11">
        <v>640</v>
      </c>
      <c r="D11">
        <v>10</v>
      </c>
      <c r="E11" t="s">
        <v>9</v>
      </c>
      <c r="F11" t="s">
        <v>44</v>
      </c>
      <c r="G11">
        <v>4</v>
      </c>
      <c r="H11">
        <v>176</v>
      </c>
      <c r="I11">
        <v>0</v>
      </c>
      <c r="J11">
        <v>44</v>
      </c>
      <c r="K11" t="s">
        <v>13</v>
      </c>
      <c r="L11" s="18">
        <v>0</v>
      </c>
      <c r="M11" t="s">
        <v>21</v>
      </c>
      <c r="N11" s="18">
        <v>0.83333333333333337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C11">
        <v>19</v>
      </c>
    </row>
    <row r="12" spans="1:29" x14ac:dyDescent="0.25">
      <c r="A12">
        <v>133466685</v>
      </c>
      <c r="B12">
        <v>2029900061</v>
      </c>
      <c r="C12">
        <v>640</v>
      </c>
      <c r="D12">
        <v>20</v>
      </c>
      <c r="E12" t="s">
        <v>9</v>
      </c>
      <c r="F12" t="s">
        <v>45</v>
      </c>
      <c r="G12">
        <v>1</v>
      </c>
      <c r="H12">
        <v>44</v>
      </c>
      <c r="I12">
        <v>0</v>
      </c>
      <c r="J12">
        <v>44</v>
      </c>
      <c r="K12" t="s">
        <v>13</v>
      </c>
      <c r="L12" s="18">
        <v>0</v>
      </c>
      <c r="M12" t="s">
        <v>21</v>
      </c>
      <c r="N12" s="18">
        <v>0.83333333333333337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C12">
        <v>19</v>
      </c>
    </row>
    <row r="13" spans="1:29" x14ac:dyDescent="0.25">
      <c r="A13">
        <v>125179556</v>
      </c>
      <c r="B13">
        <v>2030091948</v>
      </c>
      <c r="C13">
        <v>60</v>
      </c>
      <c r="E13" t="s">
        <v>9</v>
      </c>
      <c r="F13" t="s">
        <v>65</v>
      </c>
      <c r="G13">
        <v>2</v>
      </c>
      <c r="H13">
        <v>4</v>
      </c>
      <c r="I13">
        <v>0</v>
      </c>
      <c r="J13">
        <v>2</v>
      </c>
      <c r="K13" t="s">
        <v>18</v>
      </c>
      <c r="L13" s="18">
        <v>0.45833333333333331</v>
      </c>
      <c r="M13" t="s">
        <v>18</v>
      </c>
      <c r="N13" s="18">
        <v>0.58333333333333337</v>
      </c>
      <c r="O13" t="s">
        <v>14</v>
      </c>
      <c r="P13" t="s">
        <v>20</v>
      </c>
      <c r="Q13" t="s">
        <v>16</v>
      </c>
      <c r="T13" s="18">
        <v>0</v>
      </c>
      <c r="W13" s="19">
        <v>0</v>
      </c>
      <c r="Y13">
        <v>0</v>
      </c>
      <c r="Z13">
        <v>0</v>
      </c>
      <c r="AA13">
        <v>2</v>
      </c>
      <c r="AC13">
        <v>19</v>
      </c>
    </row>
    <row r="14" spans="1:29" x14ac:dyDescent="0.25">
      <c r="A14">
        <v>133678886</v>
      </c>
      <c r="B14">
        <v>2030341896</v>
      </c>
      <c r="C14">
        <v>65</v>
      </c>
      <c r="D14">
        <v>10</v>
      </c>
      <c r="E14" t="s">
        <v>9</v>
      </c>
      <c r="F14" t="s">
        <v>66</v>
      </c>
      <c r="G14">
        <v>2</v>
      </c>
      <c r="H14">
        <v>4</v>
      </c>
      <c r="I14">
        <v>0</v>
      </c>
      <c r="J14">
        <v>2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133678887</v>
      </c>
      <c r="B15">
        <v>2030341896</v>
      </c>
      <c r="C15">
        <v>101</v>
      </c>
      <c r="E15" t="s">
        <v>9</v>
      </c>
      <c r="F15" t="s">
        <v>66</v>
      </c>
      <c r="G15">
        <v>2</v>
      </c>
      <c r="H15">
        <v>4</v>
      </c>
      <c r="I15">
        <v>0</v>
      </c>
      <c r="J15">
        <v>2</v>
      </c>
      <c r="K15" t="s">
        <v>13</v>
      </c>
      <c r="L15" s="18">
        <v>0</v>
      </c>
      <c r="M15" t="s">
        <v>13</v>
      </c>
      <c r="N15" s="18">
        <v>8.3333333333333329E-2</v>
      </c>
      <c r="O15" t="s">
        <v>14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129022810</v>
      </c>
      <c r="B16">
        <v>2030707627</v>
      </c>
      <c r="C16">
        <v>20</v>
      </c>
      <c r="E16" t="s">
        <v>9</v>
      </c>
      <c r="F16" t="s">
        <v>46</v>
      </c>
      <c r="G16">
        <v>2</v>
      </c>
      <c r="H16">
        <v>8</v>
      </c>
      <c r="I16">
        <v>0</v>
      </c>
      <c r="J16">
        <v>4</v>
      </c>
      <c r="K16" t="s">
        <v>13</v>
      </c>
      <c r="L16" s="18">
        <v>0.47916666666666669</v>
      </c>
      <c r="M16" t="s">
        <v>13</v>
      </c>
      <c r="N16" s="18">
        <v>0.6875</v>
      </c>
      <c r="O16" t="s">
        <v>14</v>
      </c>
      <c r="P16" t="s">
        <v>20</v>
      </c>
      <c r="Q16" t="s">
        <v>16</v>
      </c>
      <c r="T16" s="18">
        <v>0</v>
      </c>
      <c r="W16" s="18">
        <v>1</v>
      </c>
      <c r="Y16">
        <v>0</v>
      </c>
      <c r="Z16">
        <v>0</v>
      </c>
      <c r="AC16">
        <v>19</v>
      </c>
    </row>
    <row r="17" spans="1:29" x14ac:dyDescent="0.25">
      <c r="A17">
        <v>133463707</v>
      </c>
      <c r="B17">
        <v>2030707856</v>
      </c>
      <c r="C17">
        <v>240</v>
      </c>
      <c r="E17" t="s">
        <v>9</v>
      </c>
      <c r="F17" t="s">
        <v>47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</v>
      </c>
      <c r="M17" t="s">
        <v>13</v>
      </c>
      <c r="N17" s="18">
        <v>8.3333333333333329E-2</v>
      </c>
      <c r="O17" t="s">
        <v>28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19</v>
      </c>
    </row>
    <row r="18" spans="1:29" x14ac:dyDescent="0.25">
      <c r="A18">
        <v>133670393</v>
      </c>
      <c r="B18">
        <v>2030707957</v>
      </c>
      <c r="C18">
        <v>130</v>
      </c>
      <c r="D18">
        <v>10</v>
      </c>
      <c r="E18" t="s">
        <v>9</v>
      </c>
      <c r="F18" t="s">
        <v>48</v>
      </c>
      <c r="G18">
        <v>2</v>
      </c>
      <c r="H18">
        <v>4</v>
      </c>
      <c r="I18">
        <v>0</v>
      </c>
      <c r="J18">
        <v>2</v>
      </c>
      <c r="K18" t="s">
        <v>13</v>
      </c>
      <c r="L18" s="18">
        <v>0</v>
      </c>
      <c r="M18" t="s">
        <v>13</v>
      </c>
      <c r="N18" s="18">
        <v>4.1666666666666664E-2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C18">
        <v>19</v>
      </c>
    </row>
    <row r="19" spans="1:29" x14ac:dyDescent="0.25">
      <c r="A19">
        <v>133678890</v>
      </c>
      <c r="B19">
        <v>2030937385</v>
      </c>
      <c r="C19">
        <v>15</v>
      </c>
      <c r="E19" t="s">
        <v>9</v>
      </c>
      <c r="F19" t="s">
        <v>49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</v>
      </c>
      <c r="M19" t="s">
        <v>13</v>
      </c>
      <c r="N19" s="18">
        <v>8.3333333333333329E-2</v>
      </c>
      <c r="O19" t="s">
        <v>14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130842929</v>
      </c>
      <c r="B20">
        <v>2030937385</v>
      </c>
      <c r="C20">
        <v>30</v>
      </c>
      <c r="E20" t="s">
        <v>9</v>
      </c>
      <c r="F20" t="s">
        <v>50</v>
      </c>
      <c r="G20">
        <v>2</v>
      </c>
      <c r="H20">
        <v>2</v>
      </c>
      <c r="I20">
        <v>0</v>
      </c>
      <c r="J20">
        <v>1</v>
      </c>
      <c r="K20" t="s">
        <v>13</v>
      </c>
      <c r="L20" s="18">
        <v>0.16666666666666666</v>
      </c>
      <c r="M20" t="s">
        <v>13</v>
      </c>
      <c r="N20" s="18">
        <v>0.20833333333333334</v>
      </c>
      <c r="O20" t="s">
        <v>51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131240757</v>
      </c>
      <c r="B21">
        <v>2030996716</v>
      </c>
      <c r="C21">
        <v>60</v>
      </c>
      <c r="E21" t="s">
        <v>9</v>
      </c>
      <c r="F21" t="s">
        <v>52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C21">
        <v>19</v>
      </c>
    </row>
    <row r="22" spans="1:29" x14ac:dyDescent="0.25">
      <c r="A22">
        <v>133463730</v>
      </c>
      <c r="B22">
        <v>2031111330</v>
      </c>
      <c r="C22">
        <v>220</v>
      </c>
      <c r="D22">
        <v>30</v>
      </c>
      <c r="E22" t="s">
        <v>9</v>
      </c>
      <c r="F22" t="s">
        <v>53</v>
      </c>
      <c r="G22">
        <v>2</v>
      </c>
      <c r="H22">
        <v>2</v>
      </c>
      <c r="I22">
        <v>0</v>
      </c>
      <c r="J22">
        <v>1</v>
      </c>
      <c r="K22" t="s">
        <v>13</v>
      </c>
      <c r="L22" s="18">
        <v>0.25</v>
      </c>
      <c r="M22" t="s">
        <v>13</v>
      </c>
      <c r="N22" s="18">
        <v>0.29166666666666669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19</v>
      </c>
    </row>
    <row r="23" spans="1:29" x14ac:dyDescent="0.25">
      <c r="A23">
        <v>133463726</v>
      </c>
      <c r="B23">
        <v>2031111330</v>
      </c>
      <c r="C23">
        <v>210</v>
      </c>
      <c r="E23" t="s">
        <v>9</v>
      </c>
      <c r="F23" t="s">
        <v>54</v>
      </c>
      <c r="G23">
        <v>3</v>
      </c>
      <c r="H23">
        <v>18</v>
      </c>
      <c r="I23">
        <v>0</v>
      </c>
      <c r="J23">
        <v>6</v>
      </c>
      <c r="K23" t="s">
        <v>13</v>
      </c>
      <c r="L23" s="18">
        <v>0</v>
      </c>
      <c r="M23" t="s">
        <v>13</v>
      </c>
      <c r="N23" s="18">
        <v>0.25</v>
      </c>
      <c r="O23" t="s">
        <v>14</v>
      </c>
      <c r="P23" t="s">
        <v>20</v>
      </c>
      <c r="Q23" t="s">
        <v>16</v>
      </c>
      <c r="T23" s="18">
        <v>0</v>
      </c>
      <c r="W23" s="19">
        <v>0</v>
      </c>
      <c r="Y23">
        <v>0</v>
      </c>
      <c r="Z23">
        <v>0</v>
      </c>
      <c r="AA23">
        <v>1</v>
      </c>
      <c r="AB23" t="s">
        <v>37</v>
      </c>
      <c r="AC23">
        <v>19</v>
      </c>
    </row>
    <row r="24" spans="1:29" x14ac:dyDescent="0.25">
      <c r="A24">
        <v>132336260</v>
      </c>
      <c r="B24">
        <v>2031139371</v>
      </c>
      <c r="C24">
        <v>45</v>
      </c>
      <c r="E24" t="s">
        <v>9</v>
      </c>
      <c r="F24" t="s">
        <v>55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0.16666666666666666</v>
      </c>
      <c r="M24" t="s">
        <v>13</v>
      </c>
      <c r="N24" s="18">
        <v>0.33333333333333331</v>
      </c>
      <c r="O24" t="s">
        <v>28</v>
      </c>
      <c r="P24" t="s">
        <v>20</v>
      </c>
      <c r="Q24" t="s">
        <v>16</v>
      </c>
      <c r="T24" s="18">
        <v>0</v>
      </c>
      <c r="W24" s="19">
        <v>1</v>
      </c>
      <c r="X24" t="s">
        <v>56</v>
      </c>
      <c r="Y24">
        <v>0</v>
      </c>
      <c r="Z24">
        <v>0</v>
      </c>
      <c r="AC24">
        <v>19</v>
      </c>
    </row>
    <row r="25" spans="1:29" x14ac:dyDescent="0.25">
      <c r="A25">
        <v>132336250</v>
      </c>
      <c r="B25">
        <v>2031139371</v>
      </c>
      <c r="C25">
        <v>60</v>
      </c>
      <c r="E25" t="s">
        <v>9</v>
      </c>
      <c r="F25" t="s">
        <v>57</v>
      </c>
      <c r="G25">
        <v>2</v>
      </c>
      <c r="H25">
        <v>16</v>
      </c>
      <c r="I25">
        <v>0</v>
      </c>
      <c r="J25">
        <v>8</v>
      </c>
      <c r="K25" t="s">
        <v>18</v>
      </c>
      <c r="L25" s="18">
        <v>0.3125</v>
      </c>
      <c r="M25" t="s">
        <v>18</v>
      </c>
      <c r="N25" s="18">
        <v>0.6875</v>
      </c>
      <c r="O25" t="s">
        <v>28</v>
      </c>
      <c r="P25" t="s">
        <v>20</v>
      </c>
      <c r="Q25" t="s">
        <v>16</v>
      </c>
      <c r="T25" s="18">
        <v>0</v>
      </c>
      <c r="W25" s="19">
        <v>1</v>
      </c>
      <c r="Y25">
        <v>0</v>
      </c>
      <c r="Z25">
        <v>0</v>
      </c>
      <c r="AC25">
        <v>19</v>
      </c>
    </row>
    <row r="26" spans="1:29" x14ac:dyDescent="0.25">
      <c r="A26">
        <v>132336261</v>
      </c>
      <c r="B26">
        <v>2031139371</v>
      </c>
      <c r="C26">
        <v>65</v>
      </c>
      <c r="E26" t="s">
        <v>9</v>
      </c>
      <c r="F26" t="s">
        <v>58</v>
      </c>
      <c r="G26">
        <v>2</v>
      </c>
      <c r="H26">
        <v>8</v>
      </c>
      <c r="I26">
        <v>0</v>
      </c>
      <c r="J26">
        <v>4</v>
      </c>
      <c r="K26" t="s">
        <v>21</v>
      </c>
      <c r="L26" s="18">
        <v>0.25</v>
      </c>
      <c r="M26" t="s">
        <v>21</v>
      </c>
      <c r="N26" s="18">
        <v>0.41666666666666669</v>
      </c>
      <c r="O26" t="s">
        <v>28</v>
      </c>
      <c r="P26" t="s">
        <v>20</v>
      </c>
      <c r="Q26" t="s">
        <v>16</v>
      </c>
      <c r="T26" s="18">
        <v>0</v>
      </c>
      <c r="W26" s="19">
        <v>1</v>
      </c>
      <c r="X26" t="s">
        <v>56</v>
      </c>
      <c r="Y26">
        <v>0</v>
      </c>
      <c r="Z26">
        <v>0</v>
      </c>
      <c r="AC26">
        <v>19</v>
      </c>
    </row>
    <row r="27" spans="1:29" x14ac:dyDescent="0.25">
      <c r="A27">
        <v>132336251</v>
      </c>
      <c r="B27">
        <v>2031139371</v>
      </c>
      <c r="C27">
        <v>70</v>
      </c>
      <c r="E27" t="s">
        <v>9</v>
      </c>
      <c r="F27" t="s">
        <v>59</v>
      </c>
      <c r="G27">
        <v>2</v>
      </c>
      <c r="H27">
        <v>16</v>
      </c>
      <c r="I27">
        <v>0</v>
      </c>
      <c r="J27">
        <v>8</v>
      </c>
      <c r="K27" t="s">
        <v>21</v>
      </c>
      <c r="L27" s="18">
        <v>0.41666666666666669</v>
      </c>
      <c r="M27" t="s">
        <v>21</v>
      </c>
      <c r="N27" s="18">
        <v>0.75</v>
      </c>
      <c r="O27" t="s">
        <v>28</v>
      </c>
      <c r="P27" t="s">
        <v>20</v>
      </c>
      <c r="Q27" t="s">
        <v>16</v>
      </c>
      <c r="T27" s="18">
        <v>0</v>
      </c>
      <c r="W27" s="18">
        <v>1</v>
      </c>
      <c r="Y27">
        <v>0</v>
      </c>
      <c r="Z27">
        <v>0</v>
      </c>
      <c r="AC27">
        <v>19</v>
      </c>
    </row>
    <row r="28" spans="1:29" x14ac:dyDescent="0.25">
      <c r="A28">
        <v>132336258</v>
      </c>
      <c r="B28">
        <v>2031139371</v>
      </c>
      <c r="C28">
        <v>80</v>
      </c>
      <c r="E28" t="s">
        <v>9</v>
      </c>
      <c r="F28" t="s">
        <v>57</v>
      </c>
      <c r="G28">
        <v>2</v>
      </c>
      <c r="H28">
        <v>56</v>
      </c>
      <c r="I28">
        <v>0</v>
      </c>
      <c r="J28">
        <v>28</v>
      </c>
      <c r="K28" t="s">
        <v>21</v>
      </c>
      <c r="L28" s="18">
        <v>0.75</v>
      </c>
      <c r="M28" t="s">
        <v>18</v>
      </c>
      <c r="N28" s="18">
        <v>0.91666666666666663</v>
      </c>
      <c r="O28" t="s">
        <v>28</v>
      </c>
      <c r="P28" t="s">
        <v>20</v>
      </c>
      <c r="Q28" t="s">
        <v>16</v>
      </c>
      <c r="T28" s="18">
        <v>0</v>
      </c>
      <c r="W28" s="18">
        <v>1</v>
      </c>
      <c r="Y28">
        <v>0</v>
      </c>
      <c r="Z28">
        <v>0</v>
      </c>
      <c r="AC28">
        <v>19</v>
      </c>
    </row>
    <row r="29" spans="1:29" x14ac:dyDescent="0.25">
      <c r="A29">
        <v>132336262</v>
      </c>
      <c r="B29">
        <v>2031139371</v>
      </c>
      <c r="C29">
        <v>90</v>
      </c>
      <c r="E29" t="s">
        <v>9</v>
      </c>
      <c r="F29" t="s">
        <v>58</v>
      </c>
      <c r="G29">
        <v>2</v>
      </c>
      <c r="H29">
        <v>8</v>
      </c>
      <c r="I29">
        <v>0</v>
      </c>
      <c r="J29">
        <v>4</v>
      </c>
      <c r="K29" t="s">
        <v>18</v>
      </c>
      <c r="L29" s="18">
        <v>0.91666666666666663</v>
      </c>
      <c r="M29" t="s">
        <v>19</v>
      </c>
      <c r="N29" s="18">
        <v>8.3333333333333329E-2</v>
      </c>
      <c r="O29" t="s">
        <v>28</v>
      </c>
      <c r="P29" t="s">
        <v>20</v>
      </c>
      <c r="Q29" t="s">
        <v>16</v>
      </c>
      <c r="T29" s="18">
        <v>0</v>
      </c>
      <c r="W29" s="18">
        <v>1</v>
      </c>
      <c r="X29" t="s">
        <v>56</v>
      </c>
      <c r="Y29">
        <v>0</v>
      </c>
      <c r="Z29">
        <v>0</v>
      </c>
      <c r="AC29">
        <v>19</v>
      </c>
    </row>
    <row r="30" spans="1:29" x14ac:dyDescent="0.25">
      <c r="A30">
        <v>133258796</v>
      </c>
      <c r="B30">
        <v>2031293358</v>
      </c>
      <c r="C30">
        <v>10</v>
      </c>
      <c r="E30" t="s">
        <v>9</v>
      </c>
      <c r="F30" t="s">
        <v>60</v>
      </c>
      <c r="G30">
        <v>2</v>
      </c>
      <c r="H30">
        <v>16</v>
      </c>
      <c r="I30">
        <v>0</v>
      </c>
      <c r="J30">
        <v>8</v>
      </c>
      <c r="K30" t="s">
        <v>13</v>
      </c>
      <c r="L30" s="18">
        <v>0</v>
      </c>
      <c r="M30" t="s">
        <v>13</v>
      </c>
      <c r="N30" s="18">
        <v>0.33333333333333331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133678880</v>
      </c>
      <c r="B31">
        <v>2031293358</v>
      </c>
      <c r="C31">
        <v>20</v>
      </c>
      <c r="E31" t="s">
        <v>9</v>
      </c>
      <c r="F31" t="s">
        <v>61</v>
      </c>
      <c r="G31">
        <v>1</v>
      </c>
      <c r="H31">
        <v>0.2</v>
      </c>
      <c r="I31">
        <v>0</v>
      </c>
      <c r="J31">
        <v>0.2</v>
      </c>
      <c r="K31" t="s">
        <v>13</v>
      </c>
      <c r="L31" s="18">
        <v>0.33333333333333331</v>
      </c>
      <c r="M31" t="s">
        <v>13</v>
      </c>
      <c r="N31" s="18">
        <v>0.34166666666666667</v>
      </c>
      <c r="O31" t="s">
        <v>14</v>
      </c>
      <c r="P31" t="s">
        <v>20</v>
      </c>
      <c r="Q31" t="s">
        <v>16</v>
      </c>
      <c r="T31" s="18">
        <v>0</v>
      </c>
      <c r="W31" s="19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133685414</v>
      </c>
      <c r="B32">
        <v>2031349577</v>
      </c>
      <c r="C32">
        <v>20</v>
      </c>
      <c r="E32" t="s">
        <v>9</v>
      </c>
      <c r="F32" t="s">
        <v>75</v>
      </c>
      <c r="G32">
        <v>2</v>
      </c>
      <c r="H32">
        <v>2</v>
      </c>
      <c r="I32">
        <v>0</v>
      </c>
      <c r="J32">
        <v>1</v>
      </c>
      <c r="K32" t="s">
        <v>13</v>
      </c>
      <c r="L32" s="18">
        <v>0.35416666666666669</v>
      </c>
      <c r="M32" t="s">
        <v>13</v>
      </c>
      <c r="N32" s="18">
        <v>0.39583333333333331</v>
      </c>
      <c r="O32" t="s">
        <v>14</v>
      </c>
      <c r="P32" t="s">
        <v>20</v>
      </c>
      <c r="Q32" t="s">
        <v>16</v>
      </c>
      <c r="T32" s="18">
        <v>0</v>
      </c>
      <c r="W32" s="19">
        <v>0</v>
      </c>
      <c r="Y32">
        <v>0</v>
      </c>
      <c r="Z32">
        <v>0</v>
      </c>
      <c r="AA32">
        <v>1</v>
      </c>
      <c r="AB32" t="s">
        <v>37</v>
      </c>
      <c r="AC32">
        <v>19</v>
      </c>
    </row>
    <row r="33" spans="1:29" x14ac:dyDescent="0.25">
      <c r="A33">
        <v>133685430</v>
      </c>
      <c r="B33">
        <v>2031349577</v>
      </c>
      <c r="C33">
        <v>100</v>
      </c>
      <c r="E33" t="s">
        <v>9</v>
      </c>
      <c r="F33" t="s">
        <v>76</v>
      </c>
      <c r="G33">
        <v>2</v>
      </c>
      <c r="H33">
        <v>2</v>
      </c>
      <c r="I33">
        <v>0</v>
      </c>
      <c r="J33">
        <v>1</v>
      </c>
      <c r="K33" t="s">
        <v>18</v>
      </c>
      <c r="L33" s="18">
        <v>0.4375</v>
      </c>
      <c r="M33" t="s">
        <v>18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L34" s="18"/>
      <c r="N34" s="18"/>
      <c r="T34" s="18"/>
      <c r="W34" s="18"/>
    </row>
    <row r="35" spans="1:29" x14ac:dyDescent="0.25">
      <c r="L35" s="18"/>
      <c r="N35" s="18"/>
      <c r="T35" s="18"/>
      <c r="W3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topLeftCell="A57"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562.5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120817322</v>
      </c>
      <c r="B3">
        <v>2027174131</v>
      </c>
      <c r="C3">
        <v>110</v>
      </c>
      <c r="E3" t="s">
        <v>10</v>
      </c>
      <c r="F3" t="s">
        <v>121</v>
      </c>
      <c r="G3">
        <v>1</v>
      </c>
      <c r="H3">
        <v>0.2</v>
      </c>
      <c r="I3">
        <v>0</v>
      </c>
      <c r="J3">
        <v>0.2</v>
      </c>
      <c r="K3" t="s">
        <v>19</v>
      </c>
      <c r="L3" s="18">
        <v>0.60416666666666663</v>
      </c>
      <c r="M3" t="s">
        <v>19</v>
      </c>
      <c r="N3" s="18">
        <v>0.61250000000000004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129596768</v>
      </c>
      <c r="B4">
        <v>2029484416</v>
      </c>
      <c r="C4">
        <v>100</v>
      </c>
      <c r="E4" t="s">
        <v>10</v>
      </c>
      <c r="F4" t="s">
        <v>122</v>
      </c>
      <c r="G4">
        <v>2</v>
      </c>
      <c r="H4">
        <v>4</v>
      </c>
      <c r="I4">
        <v>0</v>
      </c>
      <c r="J4">
        <v>2</v>
      </c>
      <c r="K4" t="s">
        <v>19</v>
      </c>
      <c r="L4" s="18">
        <v>0.35416666666666669</v>
      </c>
      <c r="M4" t="s">
        <v>19</v>
      </c>
      <c r="N4" s="18">
        <v>0.4375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133463652</v>
      </c>
      <c r="B5">
        <v>2029647241</v>
      </c>
      <c r="C5">
        <v>3030</v>
      </c>
      <c r="E5" t="s">
        <v>10</v>
      </c>
      <c r="F5" t="s">
        <v>123</v>
      </c>
      <c r="G5">
        <v>2</v>
      </c>
      <c r="H5">
        <v>18</v>
      </c>
      <c r="I5">
        <v>0</v>
      </c>
      <c r="J5">
        <v>9</v>
      </c>
      <c r="K5" t="s">
        <v>13</v>
      </c>
      <c r="L5" s="18">
        <v>0</v>
      </c>
      <c r="M5" t="s">
        <v>13</v>
      </c>
      <c r="N5" s="18">
        <v>0.375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19</v>
      </c>
    </row>
    <row r="6" spans="1:29" x14ac:dyDescent="0.25">
      <c r="A6">
        <v>132979743</v>
      </c>
      <c r="B6">
        <v>2029694606</v>
      </c>
      <c r="C6">
        <v>120</v>
      </c>
      <c r="E6" t="s">
        <v>10</v>
      </c>
      <c r="F6" t="s">
        <v>124</v>
      </c>
      <c r="G6">
        <v>2</v>
      </c>
      <c r="H6">
        <v>4</v>
      </c>
      <c r="I6">
        <v>0</v>
      </c>
      <c r="J6">
        <v>2</v>
      </c>
      <c r="K6" t="s">
        <v>13</v>
      </c>
      <c r="L6" s="18">
        <v>0.45833333333333331</v>
      </c>
      <c r="M6" t="s">
        <v>13</v>
      </c>
      <c r="N6" s="18">
        <v>0.58333333333333337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125179551</v>
      </c>
      <c r="B7">
        <v>2030091948</v>
      </c>
      <c r="C7">
        <v>20</v>
      </c>
      <c r="E7" t="s">
        <v>10</v>
      </c>
      <c r="F7" t="s">
        <v>125</v>
      </c>
      <c r="G7">
        <v>2</v>
      </c>
      <c r="H7">
        <v>8</v>
      </c>
      <c r="I7">
        <v>0</v>
      </c>
      <c r="J7">
        <v>4</v>
      </c>
      <c r="K7" t="s">
        <v>13</v>
      </c>
      <c r="L7" s="18">
        <v>0.54166666666666663</v>
      </c>
      <c r="M7" t="s">
        <v>13</v>
      </c>
      <c r="N7" s="18">
        <v>0.70833333333333337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2</v>
      </c>
      <c r="AC7">
        <v>19</v>
      </c>
    </row>
    <row r="8" spans="1:29" x14ac:dyDescent="0.25">
      <c r="A8">
        <v>125179553</v>
      </c>
      <c r="B8">
        <v>2030091948</v>
      </c>
      <c r="C8">
        <v>40</v>
      </c>
      <c r="E8" t="s">
        <v>10</v>
      </c>
      <c r="F8" t="s">
        <v>126</v>
      </c>
      <c r="G8">
        <v>2</v>
      </c>
      <c r="H8">
        <v>8</v>
      </c>
      <c r="I8">
        <v>0</v>
      </c>
      <c r="J8">
        <v>4</v>
      </c>
      <c r="K8" t="s">
        <v>21</v>
      </c>
      <c r="L8" s="18">
        <v>0.47916666666666669</v>
      </c>
      <c r="M8" t="s">
        <v>21</v>
      </c>
      <c r="N8" s="18">
        <v>0.6875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2</v>
      </c>
      <c r="AC8">
        <v>19</v>
      </c>
    </row>
    <row r="9" spans="1:29" x14ac:dyDescent="0.25">
      <c r="A9">
        <v>125179555</v>
      </c>
      <c r="B9">
        <v>2030091948</v>
      </c>
      <c r="C9">
        <v>70</v>
      </c>
      <c r="E9" t="s">
        <v>10</v>
      </c>
      <c r="F9" t="s">
        <v>127</v>
      </c>
      <c r="G9">
        <v>1</v>
      </c>
      <c r="H9">
        <v>0.2</v>
      </c>
      <c r="I9">
        <v>0</v>
      </c>
      <c r="J9">
        <v>0.2</v>
      </c>
      <c r="K9" t="s">
        <v>18</v>
      </c>
      <c r="L9" s="18">
        <v>0.58333333333333337</v>
      </c>
      <c r="M9" t="s">
        <v>18</v>
      </c>
      <c r="N9" s="18">
        <v>0.59166666666666667</v>
      </c>
      <c r="O9" t="s">
        <v>14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C9">
        <v>19</v>
      </c>
    </row>
    <row r="10" spans="1:29" x14ac:dyDescent="0.25">
      <c r="A10">
        <v>126217364</v>
      </c>
      <c r="B10">
        <v>2030228792</v>
      </c>
      <c r="C10">
        <v>280</v>
      </c>
      <c r="E10" t="s">
        <v>10</v>
      </c>
      <c r="F10" t="s">
        <v>128</v>
      </c>
      <c r="G10">
        <v>1</v>
      </c>
      <c r="H10">
        <v>0.2</v>
      </c>
      <c r="I10">
        <v>0</v>
      </c>
      <c r="J10">
        <v>0.2</v>
      </c>
      <c r="K10" t="s">
        <v>21</v>
      </c>
      <c r="L10" s="18">
        <v>0.46467592592592594</v>
      </c>
      <c r="M10" t="s">
        <v>21</v>
      </c>
      <c r="N10" s="18">
        <v>0.47300925925925924</v>
      </c>
      <c r="O10" t="s">
        <v>23</v>
      </c>
      <c r="P10" t="s">
        <v>25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19</v>
      </c>
    </row>
    <row r="11" spans="1:29" x14ac:dyDescent="0.25">
      <c r="A11">
        <v>126468977</v>
      </c>
      <c r="B11">
        <v>2030272491</v>
      </c>
      <c r="C11">
        <v>20</v>
      </c>
      <c r="E11" t="s">
        <v>10</v>
      </c>
      <c r="F11" t="s">
        <v>129</v>
      </c>
      <c r="G11">
        <v>2</v>
      </c>
      <c r="H11">
        <v>8</v>
      </c>
      <c r="I11">
        <v>0</v>
      </c>
      <c r="J11">
        <v>4</v>
      </c>
      <c r="K11" t="s">
        <v>13</v>
      </c>
      <c r="L11" s="18">
        <v>0.48333333333333334</v>
      </c>
      <c r="M11" t="s">
        <v>13</v>
      </c>
      <c r="N11" s="18">
        <v>0.69166666666666665</v>
      </c>
      <c r="O11" t="s">
        <v>14</v>
      </c>
      <c r="P11" t="s">
        <v>20</v>
      </c>
      <c r="Q11" t="s">
        <v>16</v>
      </c>
      <c r="T11" s="18">
        <v>0</v>
      </c>
      <c r="W11" s="19">
        <v>1</v>
      </c>
      <c r="Y11">
        <v>0</v>
      </c>
      <c r="Z11">
        <v>0</v>
      </c>
      <c r="AC11">
        <v>19</v>
      </c>
    </row>
    <row r="12" spans="1:29" x14ac:dyDescent="0.25">
      <c r="A12">
        <v>133567177</v>
      </c>
      <c r="B12">
        <v>2030282809</v>
      </c>
      <c r="C12">
        <v>205</v>
      </c>
      <c r="E12" t="s">
        <v>10</v>
      </c>
      <c r="F12" t="s">
        <v>130</v>
      </c>
      <c r="G12">
        <v>2</v>
      </c>
      <c r="H12">
        <v>6</v>
      </c>
      <c r="I12">
        <v>0</v>
      </c>
      <c r="J12">
        <v>3</v>
      </c>
      <c r="K12" t="s">
        <v>21</v>
      </c>
      <c r="L12" s="18">
        <v>0.5625</v>
      </c>
      <c r="M12" t="s">
        <v>21</v>
      </c>
      <c r="N12" s="18">
        <v>0.6875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126536766</v>
      </c>
      <c r="B13">
        <v>2030285636</v>
      </c>
      <c r="C13">
        <v>10</v>
      </c>
      <c r="E13" t="s">
        <v>10</v>
      </c>
      <c r="F13" t="s">
        <v>131</v>
      </c>
      <c r="G13">
        <v>2</v>
      </c>
      <c r="H13">
        <v>6</v>
      </c>
      <c r="I13">
        <v>0</v>
      </c>
      <c r="J13">
        <v>3</v>
      </c>
      <c r="K13" t="s">
        <v>13</v>
      </c>
      <c r="L13" s="18">
        <v>0.47916666666666669</v>
      </c>
      <c r="M13" t="s">
        <v>13</v>
      </c>
      <c r="N13" s="18">
        <v>0.64583333333333337</v>
      </c>
      <c r="O13" t="s">
        <v>14</v>
      </c>
      <c r="P13" t="s">
        <v>20</v>
      </c>
      <c r="Q13" t="s">
        <v>16</v>
      </c>
      <c r="T13" s="18">
        <v>0</v>
      </c>
      <c r="W13" s="19">
        <v>1</v>
      </c>
      <c r="Y13">
        <v>0</v>
      </c>
      <c r="Z13">
        <v>0</v>
      </c>
      <c r="AA13">
        <v>2</v>
      </c>
      <c r="AB13" t="s">
        <v>37</v>
      </c>
      <c r="AC13">
        <v>19</v>
      </c>
    </row>
    <row r="14" spans="1:29" x14ac:dyDescent="0.25">
      <c r="A14">
        <v>126536769</v>
      </c>
      <c r="B14">
        <v>2030285636</v>
      </c>
      <c r="C14">
        <v>40</v>
      </c>
      <c r="E14" t="s">
        <v>10</v>
      </c>
      <c r="F14" t="s">
        <v>132</v>
      </c>
      <c r="G14">
        <v>2</v>
      </c>
      <c r="H14">
        <v>4</v>
      </c>
      <c r="I14">
        <v>0</v>
      </c>
      <c r="J14">
        <v>2</v>
      </c>
      <c r="K14" t="s">
        <v>21</v>
      </c>
      <c r="L14" s="18">
        <v>0.47916666666666669</v>
      </c>
      <c r="M14" t="s">
        <v>21</v>
      </c>
      <c r="N14" s="18">
        <v>0.60416666666666663</v>
      </c>
      <c r="O14" t="s">
        <v>14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2</v>
      </c>
      <c r="AB14" t="s">
        <v>37</v>
      </c>
      <c r="AC14">
        <v>19</v>
      </c>
    </row>
    <row r="15" spans="1:29" x14ac:dyDescent="0.25">
      <c r="A15">
        <v>126869665</v>
      </c>
      <c r="B15">
        <v>2030341896</v>
      </c>
      <c r="C15">
        <v>10</v>
      </c>
      <c r="E15" t="s">
        <v>10</v>
      </c>
      <c r="F15" t="s">
        <v>133</v>
      </c>
      <c r="G15">
        <v>2</v>
      </c>
      <c r="H15">
        <v>8</v>
      </c>
      <c r="I15">
        <v>0</v>
      </c>
      <c r="J15">
        <v>4</v>
      </c>
      <c r="K15" t="s">
        <v>13</v>
      </c>
      <c r="L15" s="18">
        <v>0.25</v>
      </c>
      <c r="M15" t="s">
        <v>13</v>
      </c>
      <c r="N15" s="18">
        <v>0.41666666666666669</v>
      </c>
      <c r="O15" t="s">
        <v>134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126878935</v>
      </c>
      <c r="B16">
        <v>2030341896</v>
      </c>
      <c r="C16">
        <v>30</v>
      </c>
      <c r="E16" t="s">
        <v>10</v>
      </c>
      <c r="F16" t="s">
        <v>135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0.66666666666666663</v>
      </c>
      <c r="M16" t="s">
        <v>13</v>
      </c>
      <c r="N16" s="18">
        <v>0.75</v>
      </c>
      <c r="O16" t="s">
        <v>134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126878936</v>
      </c>
      <c r="B17">
        <v>2030341896</v>
      </c>
      <c r="C17">
        <v>40</v>
      </c>
      <c r="E17" t="s">
        <v>10</v>
      </c>
      <c r="F17" t="s">
        <v>136</v>
      </c>
      <c r="G17">
        <v>2</v>
      </c>
      <c r="H17">
        <v>8</v>
      </c>
      <c r="I17">
        <v>0</v>
      </c>
      <c r="J17">
        <v>4</v>
      </c>
      <c r="K17" t="s">
        <v>21</v>
      </c>
      <c r="L17" s="18">
        <v>0</v>
      </c>
      <c r="M17" t="s">
        <v>21</v>
      </c>
      <c r="N17" s="18">
        <v>0.16666666666666666</v>
      </c>
      <c r="O17" t="s">
        <v>134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133678885</v>
      </c>
      <c r="B18">
        <v>2030341896</v>
      </c>
      <c r="C18">
        <v>65</v>
      </c>
      <c r="E18" t="s">
        <v>10</v>
      </c>
      <c r="F18" t="s">
        <v>137</v>
      </c>
      <c r="G18">
        <v>2</v>
      </c>
      <c r="H18">
        <v>8</v>
      </c>
      <c r="I18">
        <v>0</v>
      </c>
      <c r="J18">
        <v>4</v>
      </c>
      <c r="K18" t="s">
        <v>13</v>
      </c>
      <c r="L18" s="18">
        <v>0</v>
      </c>
      <c r="M18" t="s">
        <v>13</v>
      </c>
      <c r="N18" s="18">
        <v>0.16666666666666666</v>
      </c>
      <c r="O18" t="s">
        <v>14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126878939</v>
      </c>
      <c r="B19">
        <v>2030341896</v>
      </c>
      <c r="C19">
        <v>70</v>
      </c>
      <c r="E19" t="s">
        <v>10</v>
      </c>
      <c r="F19" t="s">
        <v>138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0.16666666666666666</v>
      </c>
      <c r="M19" t="s">
        <v>13</v>
      </c>
      <c r="N19" s="18">
        <v>0.25</v>
      </c>
      <c r="O19" t="s">
        <v>134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126878940</v>
      </c>
      <c r="B20">
        <v>2030341896</v>
      </c>
      <c r="C20">
        <v>80</v>
      </c>
      <c r="E20" t="s">
        <v>10</v>
      </c>
      <c r="F20" t="s">
        <v>136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0.25</v>
      </c>
      <c r="M20" t="s">
        <v>13</v>
      </c>
      <c r="N20" s="18">
        <v>0.33333333333333331</v>
      </c>
      <c r="O20" t="s">
        <v>134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127645056</v>
      </c>
      <c r="B21">
        <v>2030341896</v>
      </c>
      <c r="C21">
        <v>90</v>
      </c>
      <c r="E21" t="s">
        <v>10</v>
      </c>
      <c r="F21" t="s">
        <v>137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0.33333333333333331</v>
      </c>
      <c r="M21" t="s">
        <v>13</v>
      </c>
      <c r="N21" s="18">
        <v>0.41666666666666669</v>
      </c>
      <c r="O21" t="s">
        <v>134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127645058</v>
      </c>
      <c r="B22">
        <v>2030341896</v>
      </c>
      <c r="C22">
        <v>110</v>
      </c>
      <c r="E22" t="s">
        <v>10</v>
      </c>
      <c r="F22" t="s">
        <v>138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8.3333333333333329E-2</v>
      </c>
      <c r="M22" t="s">
        <v>13</v>
      </c>
      <c r="N22" s="18">
        <v>0.16666666666666666</v>
      </c>
      <c r="O22" t="s">
        <v>134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127645059</v>
      </c>
      <c r="B23">
        <v>2030341896</v>
      </c>
      <c r="C23">
        <v>120</v>
      </c>
      <c r="E23" t="s">
        <v>10</v>
      </c>
      <c r="F23" t="s">
        <v>139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0.16666666666666666</v>
      </c>
      <c r="M23" t="s">
        <v>13</v>
      </c>
      <c r="N23" s="18">
        <v>0.29166666666666669</v>
      </c>
      <c r="O23" t="s">
        <v>134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127648374</v>
      </c>
      <c r="B24">
        <v>2030341896</v>
      </c>
      <c r="C24">
        <v>130</v>
      </c>
      <c r="E24" t="s">
        <v>10</v>
      </c>
      <c r="F24" t="s">
        <v>140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0.29166666666666669</v>
      </c>
      <c r="M24" t="s">
        <v>13</v>
      </c>
      <c r="N24" s="18">
        <v>0.45833333333333331</v>
      </c>
      <c r="O24" t="s">
        <v>134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B24" t="s">
        <v>37</v>
      </c>
      <c r="AC24">
        <v>19</v>
      </c>
    </row>
    <row r="25" spans="1:29" x14ac:dyDescent="0.25">
      <c r="A25">
        <v>133678616</v>
      </c>
      <c r="B25">
        <v>2030341896</v>
      </c>
      <c r="C25">
        <v>175</v>
      </c>
      <c r="E25" t="s">
        <v>10</v>
      </c>
      <c r="F25" t="s">
        <v>141</v>
      </c>
      <c r="G25">
        <v>2</v>
      </c>
      <c r="H25">
        <v>32</v>
      </c>
      <c r="I25">
        <v>0</v>
      </c>
      <c r="J25">
        <v>16</v>
      </c>
      <c r="K25" t="s">
        <v>13</v>
      </c>
      <c r="L25" s="18">
        <v>0.75</v>
      </c>
      <c r="M25" t="s">
        <v>21</v>
      </c>
      <c r="N25" s="18">
        <v>0.41666666666666669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133678619</v>
      </c>
      <c r="B26">
        <v>2030341896</v>
      </c>
      <c r="C26">
        <v>177</v>
      </c>
      <c r="E26" t="s">
        <v>10</v>
      </c>
      <c r="F26" t="s">
        <v>142</v>
      </c>
      <c r="G26">
        <v>2</v>
      </c>
      <c r="H26">
        <v>6</v>
      </c>
      <c r="I26">
        <v>0</v>
      </c>
      <c r="J26">
        <v>3</v>
      </c>
      <c r="K26" t="s">
        <v>21</v>
      </c>
      <c r="L26" s="18">
        <v>0.45833333333333331</v>
      </c>
      <c r="M26" t="s">
        <v>21</v>
      </c>
      <c r="N26" s="18">
        <v>0.58333333333333337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133678621</v>
      </c>
      <c r="B27">
        <v>2030341896</v>
      </c>
      <c r="C27">
        <v>205</v>
      </c>
      <c r="E27" t="s">
        <v>10</v>
      </c>
      <c r="F27" t="s">
        <v>143</v>
      </c>
      <c r="G27">
        <v>2</v>
      </c>
      <c r="H27">
        <v>32</v>
      </c>
      <c r="I27">
        <v>0</v>
      </c>
      <c r="J27">
        <v>16</v>
      </c>
      <c r="K27" t="s">
        <v>21</v>
      </c>
      <c r="L27" s="18">
        <v>0.625</v>
      </c>
      <c r="M27" t="s">
        <v>18</v>
      </c>
      <c r="N27" s="18">
        <v>0.29166666666666669</v>
      </c>
      <c r="O27" t="s">
        <v>14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B27" t="s">
        <v>37</v>
      </c>
      <c r="AC27">
        <v>19</v>
      </c>
    </row>
    <row r="28" spans="1:29" x14ac:dyDescent="0.25">
      <c r="A28">
        <v>127648379</v>
      </c>
      <c r="B28">
        <v>2030341896</v>
      </c>
      <c r="C28">
        <v>300</v>
      </c>
      <c r="E28" t="s">
        <v>10</v>
      </c>
      <c r="F28" t="s">
        <v>144</v>
      </c>
      <c r="G28">
        <v>1</v>
      </c>
      <c r="H28">
        <v>0.2</v>
      </c>
      <c r="I28">
        <v>0</v>
      </c>
      <c r="J28">
        <v>0.2</v>
      </c>
      <c r="K28" t="s">
        <v>18</v>
      </c>
      <c r="L28" s="18">
        <v>0.66666666666666663</v>
      </c>
      <c r="M28" t="s">
        <v>18</v>
      </c>
      <c r="N28" s="18">
        <v>0.67500000000000004</v>
      </c>
      <c r="O28" t="s">
        <v>23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B28" t="s">
        <v>37</v>
      </c>
      <c r="AC28">
        <v>19</v>
      </c>
    </row>
    <row r="29" spans="1:29" x14ac:dyDescent="0.25">
      <c r="A29">
        <v>133459597</v>
      </c>
      <c r="B29">
        <v>2030377954</v>
      </c>
      <c r="C29">
        <v>381</v>
      </c>
      <c r="E29" t="s">
        <v>10</v>
      </c>
      <c r="F29" t="s">
        <v>145</v>
      </c>
      <c r="G29">
        <v>2</v>
      </c>
      <c r="H29">
        <v>32</v>
      </c>
      <c r="I29">
        <v>0</v>
      </c>
      <c r="J29">
        <v>16</v>
      </c>
      <c r="K29" t="s">
        <v>13</v>
      </c>
      <c r="L29" s="18">
        <v>0</v>
      </c>
      <c r="M29" t="s">
        <v>13</v>
      </c>
      <c r="N29" s="18">
        <v>0.66666666666666663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B29" t="s">
        <v>37</v>
      </c>
      <c r="AC29">
        <v>19</v>
      </c>
    </row>
    <row r="30" spans="1:29" x14ac:dyDescent="0.25">
      <c r="A30">
        <v>133639680</v>
      </c>
      <c r="B30">
        <v>2030377954</v>
      </c>
      <c r="C30">
        <v>391</v>
      </c>
      <c r="E30" t="s">
        <v>10</v>
      </c>
      <c r="F30" t="s">
        <v>146</v>
      </c>
      <c r="G30">
        <v>2</v>
      </c>
      <c r="H30">
        <v>12</v>
      </c>
      <c r="I30">
        <v>0</v>
      </c>
      <c r="J30">
        <v>6</v>
      </c>
      <c r="K30" t="s">
        <v>13</v>
      </c>
      <c r="L30" s="18">
        <v>0</v>
      </c>
      <c r="M30" t="s">
        <v>13</v>
      </c>
      <c r="N30" s="18">
        <v>0.25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133677472</v>
      </c>
      <c r="B31">
        <v>2030377954</v>
      </c>
      <c r="C31">
        <v>397</v>
      </c>
      <c r="E31" t="s">
        <v>10</v>
      </c>
      <c r="F31" t="s">
        <v>147</v>
      </c>
      <c r="G31">
        <v>2</v>
      </c>
      <c r="H31">
        <v>10</v>
      </c>
      <c r="I31">
        <v>0</v>
      </c>
      <c r="J31">
        <v>5</v>
      </c>
      <c r="K31" t="s">
        <v>13</v>
      </c>
      <c r="L31" s="18">
        <v>0</v>
      </c>
      <c r="M31" t="s">
        <v>13</v>
      </c>
      <c r="N31" s="18">
        <v>0.20833333333333334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127122543</v>
      </c>
      <c r="B32">
        <v>2030377954</v>
      </c>
      <c r="C32">
        <v>400</v>
      </c>
      <c r="E32" t="s">
        <v>10</v>
      </c>
      <c r="F32" t="s">
        <v>148</v>
      </c>
      <c r="G32">
        <v>1</v>
      </c>
      <c r="H32">
        <v>0.2</v>
      </c>
      <c r="I32">
        <v>0</v>
      </c>
      <c r="J32">
        <v>0.2</v>
      </c>
      <c r="K32" t="s">
        <v>13</v>
      </c>
      <c r="L32" s="18">
        <v>0</v>
      </c>
      <c r="M32" t="s">
        <v>13</v>
      </c>
      <c r="N32" s="18">
        <v>8.3333333333333332E-3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B32" t="s">
        <v>37</v>
      </c>
      <c r="AC32">
        <v>19</v>
      </c>
    </row>
    <row r="33" spans="1:29" x14ac:dyDescent="0.25">
      <c r="A33">
        <v>129022809</v>
      </c>
      <c r="B33">
        <v>2030707627</v>
      </c>
      <c r="C33">
        <v>10</v>
      </c>
      <c r="E33" t="s">
        <v>10</v>
      </c>
      <c r="F33" t="s">
        <v>46</v>
      </c>
      <c r="G33">
        <v>2</v>
      </c>
      <c r="H33">
        <v>8</v>
      </c>
      <c r="I33">
        <v>0</v>
      </c>
      <c r="J33">
        <v>4</v>
      </c>
      <c r="K33" t="s">
        <v>13</v>
      </c>
      <c r="L33" s="18">
        <v>0.3125</v>
      </c>
      <c r="M33" t="s">
        <v>13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C33">
        <v>19</v>
      </c>
    </row>
    <row r="34" spans="1:29" x14ac:dyDescent="0.25">
      <c r="A34">
        <v>133670392</v>
      </c>
      <c r="B34">
        <v>2030707957</v>
      </c>
      <c r="C34">
        <v>130</v>
      </c>
      <c r="E34" t="s">
        <v>10</v>
      </c>
      <c r="F34" t="s">
        <v>48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</v>
      </c>
      <c r="M34" t="s">
        <v>13</v>
      </c>
      <c r="N34" s="18">
        <v>4.1666666666666664E-2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Y34">
        <v>0</v>
      </c>
      <c r="Z34">
        <v>0</v>
      </c>
      <c r="AC34">
        <v>19</v>
      </c>
    </row>
    <row r="35" spans="1:29" x14ac:dyDescent="0.25">
      <c r="A35">
        <v>129027263</v>
      </c>
      <c r="B35">
        <v>2030708036</v>
      </c>
      <c r="C35">
        <v>40</v>
      </c>
      <c r="E35" t="s">
        <v>10</v>
      </c>
      <c r="F35" t="s">
        <v>149</v>
      </c>
      <c r="G35">
        <v>2</v>
      </c>
      <c r="H35">
        <v>8</v>
      </c>
      <c r="I35">
        <v>0</v>
      </c>
      <c r="J35">
        <v>4</v>
      </c>
      <c r="K35" t="s">
        <v>13</v>
      </c>
      <c r="L35" s="18">
        <v>0.47916666666666669</v>
      </c>
      <c r="M35" t="s">
        <v>13</v>
      </c>
      <c r="N35" s="18">
        <v>0.6875</v>
      </c>
      <c r="O35" t="s">
        <v>14</v>
      </c>
      <c r="P35" t="s">
        <v>20</v>
      </c>
      <c r="Q35" t="s">
        <v>16</v>
      </c>
      <c r="T35" s="18">
        <v>0</v>
      </c>
      <c r="W35" s="19">
        <v>1</v>
      </c>
      <c r="Y35">
        <v>0</v>
      </c>
      <c r="Z35">
        <v>0</v>
      </c>
      <c r="AC35">
        <v>19</v>
      </c>
    </row>
    <row r="36" spans="1:29" x14ac:dyDescent="0.25">
      <c r="A36">
        <v>130037219</v>
      </c>
      <c r="B36">
        <v>2030851252</v>
      </c>
      <c r="C36">
        <v>40</v>
      </c>
      <c r="E36" t="s">
        <v>10</v>
      </c>
      <c r="F36" t="s">
        <v>150</v>
      </c>
      <c r="G36">
        <v>1</v>
      </c>
      <c r="H36">
        <v>0.2</v>
      </c>
      <c r="I36">
        <v>0</v>
      </c>
      <c r="J36">
        <v>0.2</v>
      </c>
      <c r="K36" t="s">
        <v>21</v>
      </c>
      <c r="L36" s="18">
        <v>0.4375</v>
      </c>
      <c r="M36" t="s">
        <v>21</v>
      </c>
      <c r="N36" s="18">
        <v>0.44583333333333336</v>
      </c>
      <c r="O36" t="s">
        <v>23</v>
      </c>
      <c r="P36" t="s">
        <v>25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B36" t="s">
        <v>37</v>
      </c>
      <c r="AC36">
        <v>19</v>
      </c>
    </row>
    <row r="37" spans="1:29" x14ac:dyDescent="0.25">
      <c r="A37">
        <v>130431641</v>
      </c>
      <c r="B37">
        <v>2030905114</v>
      </c>
      <c r="C37">
        <v>10</v>
      </c>
      <c r="E37" t="s">
        <v>10</v>
      </c>
      <c r="F37" t="s">
        <v>151</v>
      </c>
      <c r="G37">
        <v>1</v>
      </c>
      <c r="H37">
        <v>1</v>
      </c>
      <c r="I37">
        <v>0</v>
      </c>
      <c r="J37">
        <v>1</v>
      </c>
      <c r="K37" t="s">
        <v>21</v>
      </c>
      <c r="L37" s="18">
        <v>0.4375</v>
      </c>
      <c r="M37" t="s">
        <v>21</v>
      </c>
      <c r="N37" s="18">
        <v>0.47916666666666669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B37" t="s">
        <v>37</v>
      </c>
      <c r="AC37">
        <v>19</v>
      </c>
    </row>
    <row r="38" spans="1:29" x14ac:dyDescent="0.25">
      <c r="A38">
        <v>130842928</v>
      </c>
      <c r="B38">
        <v>2030937385</v>
      </c>
      <c r="C38">
        <v>20</v>
      </c>
      <c r="E38" t="s">
        <v>10</v>
      </c>
      <c r="F38" t="s">
        <v>152</v>
      </c>
      <c r="G38">
        <v>2</v>
      </c>
      <c r="H38">
        <v>4</v>
      </c>
      <c r="I38">
        <v>0</v>
      </c>
      <c r="J38">
        <v>2</v>
      </c>
      <c r="K38" t="s">
        <v>13</v>
      </c>
      <c r="L38" s="18">
        <v>8.3333333333333329E-2</v>
      </c>
      <c r="M38" t="s">
        <v>13</v>
      </c>
      <c r="N38" s="18">
        <v>0.16666666666666666</v>
      </c>
      <c r="O38" t="s">
        <v>134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130842930</v>
      </c>
      <c r="B39">
        <v>2030937385</v>
      </c>
      <c r="C39">
        <v>40</v>
      </c>
      <c r="E39" t="s">
        <v>10</v>
      </c>
      <c r="F39" t="s">
        <v>153</v>
      </c>
      <c r="G39">
        <v>2</v>
      </c>
      <c r="H39">
        <v>4</v>
      </c>
      <c r="I39">
        <v>0</v>
      </c>
      <c r="J39">
        <v>2</v>
      </c>
      <c r="K39" t="s">
        <v>13</v>
      </c>
      <c r="L39" s="18">
        <v>0.20833333333333334</v>
      </c>
      <c r="M39" t="s">
        <v>13</v>
      </c>
      <c r="N39" s="18">
        <v>0.29166666666666669</v>
      </c>
      <c r="O39" t="s">
        <v>134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B39" t="s">
        <v>37</v>
      </c>
      <c r="AC39">
        <v>19</v>
      </c>
    </row>
    <row r="40" spans="1:29" x14ac:dyDescent="0.25">
      <c r="A40">
        <v>130842931</v>
      </c>
      <c r="B40">
        <v>2030937385</v>
      </c>
      <c r="C40">
        <v>50</v>
      </c>
      <c r="E40" t="s">
        <v>10</v>
      </c>
      <c r="F40" t="s">
        <v>154</v>
      </c>
      <c r="G40">
        <v>1</v>
      </c>
      <c r="H40">
        <v>0.2</v>
      </c>
      <c r="I40">
        <v>0</v>
      </c>
      <c r="J40">
        <v>0.2</v>
      </c>
      <c r="K40" t="s">
        <v>13</v>
      </c>
      <c r="L40" s="18">
        <v>0.29166666666666669</v>
      </c>
      <c r="M40" t="s">
        <v>13</v>
      </c>
      <c r="N40" s="18">
        <v>0.3</v>
      </c>
      <c r="O40" t="s">
        <v>23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B40" t="s">
        <v>37</v>
      </c>
      <c r="AC40">
        <v>19</v>
      </c>
    </row>
    <row r="41" spans="1:29" x14ac:dyDescent="0.25">
      <c r="A41">
        <v>132395051</v>
      </c>
      <c r="B41">
        <v>2031081914</v>
      </c>
      <c r="C41">
        <v>30</v>
      </c>
      <c r="E41" t="s">
        <v>10</v>
      </c>
      <c r="F41" t="s">
        <v>155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0.44166666666666665</v>
      </c>
      <c r="M41" t="s">
        <v>33</v>
      </c>
      <c r="N41" s="18">
        <v>0.65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B41" t="s">
        <v>37</v>
      </c>
      <c r="AC41">
        <v>19</v>
      </c>
    </row>
    <row r="42" spans="1:29" x14ac:dyDescent="0.25">
      <c r="A42">
        <v>132115067</v>
      </c>
      <c r="B42">
        <v>2031111270</v>
      </c>
      <c r="C42">
        <v>10</v>
      </c>
      <c r="E42" t="s">
        <v>10</v>
      </c>
      <c r="F42" t="s">
        <v>156</v>
      </c>
      <c r="G42">
        <v>2</v>
      </c>
      <c r="H42">
        <v>8</v>
      </c>
      <c r="I42">
        <v>0</v>
      </c>
      <c r="J42">
        <v>4</v>
      </c>
      <c r="K42" t="s">
        <v>13</v>
      </c>
      <c r="L42" s="18">
        <v>0.3125</v>
      </c>
      <c r="M42" t="s">
        <v>13</v>
      </c>
      <c r="N42" s="18">
        <v>0.47916666666666669</v>
      </c>
      <c r="O42" t="s">
        <v>134</v>
      </c>
      <c r="P42" t="s">
        <v>15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B42" t="s">
        <v>37</v>
      </c>
      <c r="AC42">
        <v>19</v>
      </c>
    </row>
    <row r="43" spans="1:29" x14ac:dyDescent="0.25">
      <c r="A43">
        <v>133298632</v>
      </c>
      <c r="B43">
        <v>2031111270</v>
      </c>
      <c r="C43">
        <v>15</v>
      </c>
      <c r="E43" t="s">
        <v>10</v>
      </c>
      <c r="F43" t="s">
        <v>157</v>
      </c>
      <c r="G43">
        <v>2</v>
      </c>
      <c r="H43">
        <v>8</v>
      </c>
      <c r="I43">
        <v>0</v>
      </c>
      <c r="J43">
        <v>4</v>
      </c>
      <c r="K43" t="s">
        <v>13</v>
      </c>
      <c r="L43" s="18">
        <v>0.3125</v>
      </c>
      <c r="M43" t="s">
        <v>13</v>
      </c>
      <c r="N43" s="18">
        <v>0.47916666666666669</v>
      </c>
      <c r="O43" t="s">
        <v>134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132480541</v>
      </c>
      <c r="B44">
        <v>2031111270</v>
      </c>
      <c r="C44">
        <v>40</v>
      </c>
      <c r="E44" t="s">
        <v>10</v>
      </c>
      <c r="F44" t="s">
        <v>158</v>
      </c>
      <c r="G44">
        <v>2</v>
      </c>
      <c r="H44">
        <v>8</v>
      </c>
      <c r="I44">
        <v>0</v>
      </c>
      <c r="J44">
        <v>4</v>
      </c>
      <c r="K44" t="s">
        <v>13</v>
      </c>
      <c r="L44" s="18">
        <v>0.47916666666666669</v>
      </c>
      <c r="M44" t="s">
        <v>13</v>
      </c>
      <c r="N44" s="18">
        <v>0.6875</v>
      </c>
      <c r="O44" t="s">
        <v>134</v>
      </c>
      <c r="P44" t="s">
        <v>15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132480544</v>
      </c>
      <c r="B45">
        <v>2031111270</v>
      </c>
      <c r="C45">
        <v>70</v>
      </c>
      <c r="E45" t="s">
        <v>10</v>
      </c>
      <c r="F45" t="s">
        <v>159</v>
      </c>
      <c r="G45">
        <v>2</v>
      </c>
      <c r="H45">
        <v>8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134</v>
      </c>
      <c r="P45" t="s">
        <v>15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132480550</v>
      </c>
      <c r="B46">
        <v>2031111270</v>
      </c>
      <c r="C46">
        <v>160</v>
      </c>
      <c r="E46" t="s">
        <v>10</v>
      </c>
      <c r="F46" t="s">
        <v>160</v>
      </c>
      <c r="G46">
        <v>1</v>
      </c>
      <c r="H46">
        <v>0.1</v>
      </c>
      <c r="I46">
        <v>0</v>
      </c>
      <c r="J46">
        <v>0.1</v>
      </c>
      <c r="K46" t="s">
        <v>13</v>
      </c>
      <c r="L46" s="18">
        <v>0.3125</v>
      </c>
      <c r="M46" t="s">
        <v>13</v>
      </c>
      <c r="N46" s="18">
        <v>0.31666666666666665</v>
      </c>
      <c r="O46" t="s">
        <v>23</v>
      </c>
      <c r="P46" t="s">
        <v>15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  <row r="47" spans="1:29" x14ac:dyDescent="0.25">
      <c r="A47">
        <v>132122897</v>
      </c>
      <c r="B47">
        <v>2031111909</v>
      </c>
      <c r="C47">
        <v>10</v>
      </c>
      <c r="E47" t="s">
        <v>10</v>
      </c>
      <c r="F47" t="s">
        <v>161</v>
      </c>
      <c r="G47">
        <v>2</v>
      </c>
      <c r="H47">
        <v>8</v>
      </c>
      <c r="I47">
        <v>0</v>
      </c>
      <c r="J47">
        <v>4</v>
      </c>
      <c r="K47" t="s">
        <v>13</v>
      </c>
      <c r="L47" s="18">
        <v>0.64583333333333337</v>
      </c>
      <c r="M47" t="s">
        <v>21</v>
      </c>
      <c r="N47" s="18">
        <v>0.39583333333333331</v>
      </c>
      <c r="O47" t="s">
        <v>14</v>
      </c>
      <c r="P47" t="s">
        <v>20</v>
      </c>
      <c r="Q47" t="s">
        <v>16</v>
      </c>
      <c r="T47" s="18">
        <v>0</v>
      </c>
      <c r="W47" s="19">
        <v>1</v>
      </c>
      <c r="Y47">
        <v>0</v>
      </c>
      <c r="Z47">
        <v>0</v>
      </c>
      <c r="AC47">
        <v>19</v>
      </c>
    </row>
    <row r="48" spans="1:29" x14ac:dyDescent="0.25">
      <c r="A48">
        <v>132350639</v>
      </c>
      <c r="B48">
        <v>2031141000</v>
      </c>
      <c r="C48">
        <v>10</v>
      </c>
      <c r="E48" t="s">
        <v>10</v>
      </c>
      <c r="F48" t="s">
        <v>162</v>
      </c>
      <c r="G48">
        <v>2</v>
      </c>
      <c r="H48">
        <v>4</v>
      </c>
      <c r="I48">
        <v>0</v>
      </c>
      <c r="J48">
        <v>2</v>
      </c>
      <c r="K48" t="s">
        <v>13</v>
      </c>
      <c r="L48" s="18">
        <v>0.3125</v>
      </c>
      <c r="M48" t="s">
        <v>13</v>
      </c>
      <c r="N48" s="18">
        <v>0.39583333333333331</v>
      </c>
      <c r="O48" t="s">
        <v>14</v>
      </c>
      <c r="P48" t="s">
        <v>20</v>
      </c>
      <c r="Q48" t="s">
        <v>16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37</v>
      </c>
      <c r="AC48">
        <v>19</v>
      </c>
    </row>
    <row r="49" spans="1:29" x14ac:dyDescent="0.25">
      <c r="A49">
        <v>132910290</v>
      </c>
      <c r="B49">
        <v>2031141000</v>
      </c>
      <c r="C49">
        <v>20</v>
      </c>
      <c r="E49" t="s">
        <v>10</v>
      </c>
      <c r="F49" t="s">
        <v>163</v>
      </c>
      <c r="G49">
        <v>1</v>
      </c>
      <c r="H49">
        <v>0.2</v>
      </c>
      <c r="I49">
        <v>0</v>
      </c>
      <c r="J49">
        <v>0.2</v>
      </c>
      <c r="K49" t="s">
        <v>13</v>
      </c>
      <c r="L49" s="18">
        <v>0.39583333333333331</v>
      </c>
      <c r="M49" t="s">
        <v>13</v>
      </c>
      <c r="N49" s="18">
        <v>0.40416666666666667</v>
      </c>
      <c r="O49" t="s">
        <v>14</v>
      </c>
      <c r="P49" t="s">
        <v>20</v>
      </c>
      <c r="Q49" t="s">
        <v>16</v>
      </c>
      <c r="T49" s="18">
        <v>0</v>
      </c>
      <c r="W49" s="18">
        <v>0</v>
      </c>
      <c r="Y49">
        <v>0</v>
      </c>
      <c r="Z49">
        <v>0</v>
      </c>
      <c r="AA49">
        <v>2</v>
      </c>
      <c r="AB49" t="s">
        <v>37</v>
      </c>
      <c r="AC49">
        <v>19</v>
      </c>
    </row>
    <row r="50" spans="1:29" x14ac:dyDescent="0.25">
      <c r="A50">
        <v>132597025</v>
      </c>
      <c r="B50">
        <v>2031187610</v>
      </c>
      <c r="C50">
        <v>10</v>
      </c>
      <c r="E50" t="s">
        <v>10</v>
      </c>
      <c r="F50" t="s">
        <v>164</v>
      </c>
      <c r="G50">
        <v>2</v>
      </c>
      <c r="H50">
        <v>8</v>
      </c>
      <c r="I50">
        <v>0</v>
      </c>
      <c r="J50">
        <v>4</v>
      </c>
      <c r="K50" t="s">
        <v>13</v>
      </c>
      <c r="L50" s="18">
        <v>0.31666666666666665</v>
      </c>
      <c r="M50" t="s">
        <v>13</v>
      </c>
      <c r="N50" s="18">
        <v>0.48333333333333334</v>
      </c>
      <c r="O50" t="s">
        <v>14</v>
      </c>
      <c r="P50" t="s">
        <v>20</v>
      </c>
      <c r="Q50" t="s">
        <v>16</v>
      </c>
      <c r="T50" s="18">
        <v>0</v>
      </c>
      <c r="W50" s="19">
        <v>1</v>
      </c>
      <c r="X50" t="s">
        <v>56</v>
      </c>
      <c r="Y50">
        <v>0</v>
      </c>
      <c r="Z50">
        <v>0</v>
      </c>
      <c r="AC50">
        <v>19</v>
      </c>
    </row>
    <row r="51" spans="1:29" x14ac:dyDescent="0.25">
      <c r="A51">
        <v>133453440</v>
      </c>
      <c r="B51">
        <v>2031191112</v>
      </c>
      <c r="C51">
        <v>90</v>
      </c>
      <c r="E51" t="s">
        <v>10</v>
      </c>
      <c r="F51" t="s">
        <v>165</v>
      </c>
      <c r="G51">
        <v>2</v>
      </c>
      <c r="H51">
        <v>6</v>
      </c>
      <c r="I51">
        <v>0</v>
      </c>
      <c r="J51">
        <v>3</v>
      </c>
      <c r="K51" t="s">
        <v>13</v>
      </c>
      <c r="L51" s="18">
        <v>0.375</v>
      </c>
      <c r="M51" t="s">
        <v>13</v>
      </c>
      <c r="N51" s="18">
        <v>0.5</v>
      </c>
      <c r="O51" t="s">
        <v>14</v>
      </c>
      <c r="P51" t="s">
        <v>20</v>
      </c>
      <c r="Q51" t="s">
        <v>16</v>
      </c>
      <c r="T51" s="18">
        <v>0</v>
      </c>
      <c r="W51" s="18">
        <v>0</v>
      </c>
      <c r="Y51">
        <v>0</v>
      </c>
      <c r="Z51">
        <v>0</v>
      </c>
      <c r="AC51">
        <v>19</v>
      </c>
    </row>
    <row r="52" spans="1:29" x14ac:dyDescent="0.25">
      <c r="A52">
        <v>132723780</v>
      </c>
      <c r="B52">
        <v>2031210792</v>
      </c>
      <c r="C52">
        <v>10</v>
      </c>
      <c r="E52" t="s">
        <v>10</v>
      </c>
      <c r="F52" t="s">
        <v>166</v>
      </c>
      <c r="G52">
        <v>2</v>
      </c>
      <c r="H52">
        <v>2</v>
      </c>
      <c r="I52">
        <v>0</v>
      </c>
      <c r="J52">
        <v>1</v>
      </c>
      <c r="K52" t="s">
        <v>13</v>
      </c>
      <c r="L52" s="18">
        <v>0.6958333333333333</v>
      </c>
      <c r="M52" t="s">
        <v>21</v>
      </c>
      <c r="N52" s="18">
        <v>0.32083333333333336</v>
      </c>
      <c r="O52" t="s">
        <v>14</v>
      </c>
      <c r="P52" t="s">
        <v>20</v>
      </c>
      <c r="Q52" t="s">
        <v>16</v>
      </c>
      <c r="T52" s="18">
        <v>0</v>
      </c>
      <c r="W52" s="18">
        <v>0</v>
      </c>
      <c r="Y52">
        <v>0</v>
      </c>
      <c r="Z52">
        <v>0</v>
      </c>
      <c r="AB52" t="s">
        <v>37</v>
      </c>
      <c r="AC52">
        <v>19</v>
      </c>
    </row>
    <row r="53" spans="1:29" x14ac:dyDescent="0.25">
      <c r="A53">
        <v>132890304</v>
      </c>
      <c r="B53">
        <v>2031233965</v>
      </c>
      <c r="C53">
        <v>100</v>
      </c>
      <c r="E53" t="s">
        <v>10</v>
      </c>
      <c r="F53" t="s">
        <v>167</v>
      </c>
      <c r="G53">
        <v>1</v>
      </c>
      <c r="H53">
        <v>1</v>
      </c>
      <c r="I53">
        <v>0</v>
      </c>
      <c r="J53">
        <v>1</v>
      </c>
      <c r="K53" t="s">
        <v>33</v>
      </c>
      <c r="L53" s="18">
        <v>0.3125</v>
      </c>
      <c r="M53" t="s">
        <v>33</v>
      </c>
      <c r="N53" s="18">
        <v>0.35416666666666669</v>
      </c>
      <c r="O53" t="s">
        <v>23</v>
      </c>
      <c r="P53" t="s">
        <v>20</v>
      </c>
      <c r="Q53" t="s">
        <v>168</v>
      </c>
      <c r="T53" s="18">
        <v>0</v>
      </c>
      <c r="W53" s="18">
        <v>0</v>
      </c>
      <c r="Y53">
        <v>0</v>
      </c>
      <c r="Z53">
        <v>0</v>
      </c>
      <c r="AB53" t="s">
        <v>37</v>
      </c>
      <c r="AC53">
        <v>19</v>
      </c>
    </row>
    <row r="54" spans="1:29" x14ac:dyDescent="0.25">
      <c r="A54">
        <v>133107734</v>
      </c>
      <c r="B54">
        <v>2031240660</v>
      </c>
      <c r="C54">
        <v>70</v>
      </c>
      <c r="E54" t="s">
        <v>10</v>
      </c>
      <c r="F54" t="s">
        <v>169</v>
      </c>
      <c r="G54">
        <v>2</v>
      </c>
      <c r="H54">
        <v>24</v>
      </c>
      <c r="I54">
        <v>0</v>
      </c>
      <c r="J54">
        <v>12</v>
      </c>
      <c r="K54" t="s">
        <v>13</v>
      </c>
      <c r="L54" s="18">
        <v>0</v>
      </c>
      <c r="M54" t="s">
        <v>13</v>
      </c>
      <c r="N54" s="18">
        <v>0.5</v>
      </c>
      <c r="O54" t="s">
        <v>14</v>
      </c>
      <c r="P54" t="s">
        <v>20</v>
      </c>
      <c r="Q54" t="s">
        <v>16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37</v>
      </c>
      <c r="AC54">
        <v>19</v>
      </c>
    </row>
    <row r="55" spans="1:29" x14ac:dyDescent="0.25">
      <c r="A55">
        <v>133107735</v>
      </c>
      <c r="B55">
        <v>2031240660</v>
      </c>
      <c r="C55">
        <v>80</v>
      </c>
      <c r="E55" t="s">
        <v>10</v>
      </c>
      <c r="F55" t="s">
        <v>170</v>
      </c>
      <c r="G55">
        <v>2</v>
      </c>
      <c r="H55">
        <v>12</v>
      </c>
      <c r="I55">
        <v>0</v>
      </c>
      <c r="J55">
        <v>6</v>
      </c>
      <c r="K55" t="s">
        <v>13</v>
      </c>
      <c r="L55" s="18">
        <v>0.5</v>
      </c>
      <c r="M55" t="s">
        <v>13</v>
      </c>
      <c r="N55" s="18">
        <v>0.75</v>
      </c>
      <c r="O55" t="s">
        <v>14</v>
      </c>
      <c r="P55" t="s">
        <v>20</v>
      </c>
      <c r="Q55" t="s">
        <v>16</v>
      </c>
      <c r="T55" s="18">
        <v>0</v>
      </c>
      <c r="W55" s="18">
        <v>0</v>
      </c>
      <c r="Y55">
        <v>0</v>
      </c>
      <c r="Z55">
        <v>0</v>
      </c>
      <c r="AA55">
        <v>2</v>
      </c>
      <c r="AB55" t="s">
        <v>37</v>
      </c>
      <c r="AC55">
        <v>19</v>
      </c>
    </row>
    <row r="56" spans="1:29" x14ac:dyDescent="0.25">
      <c r="A56">
        <v>133107736</v>
      </c>
      <c r="B56">
        <v>2031240660</v>
      </c>
      <c r="C56">
        <v>90</v>
      </c>
      <c r="E56" t="s">
        <v>10</v>
      </c>
      <c r="F56" t="s">
        <v>171</v>
      </c>
      <c r="G56">
        <v>2</v>
      </c>
      <c r="H56">
        <v>4</v>
      </c>
      <c r="I56">
        <v>0</v>
      </c>
      <c r="J56">
        <v>2</v>
      </c>
      <c r="K56" t="s">
        <v>13</v>
      </c>
      <c r="L56" s="18">
        <v>0.75</v>
      </c>
      <c r="M56" t="s">
        <v>13</v>
      </c>
      <c r="N56" s="18">
        <v>0.83333333333333337</v>
      </c>
      <c r="O56" t="s">
        <v>14</v>
      </c>
      <c r="P56" t="s">
        <v>20</v>
      </c>
      <c r="Q56" t="s">
        <v>16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37</v>
      </c>
      <c r="AC56">
        <v>19</v>
      </c>
    </row>
    <row r="57" spans="1:29" x14ac:dyDescent="0.25">
      <c r="A57">
        <v>133107737</v>
      </c>
      <c r="B57">
        <v>2031240660</v>
      </c>
      <c r="C57">
        <v>100</v>
      </c>
      <c r="E57" t="s">
        <v>10</v>
      </c>
      <c r="F57" t="s">
        <v>172</v>
      </c>
      <c r="G57">
        <v>2</v>
      </c>
      <c r="H57">
        <v>8</v>
      </c>
      <c r="I57">
        <v>0</v>
      </c>
      <c r="J57">
        <v>4</v>
      </c>
      <c r="K57" t="s">
        <v>13</v>
      </c>
      <c r="L57" s="18">
        <v>0.83333333333333337</v>
      </c>
      <c r="M57" t="s">
        <v>13</v>
      </c>
      <c r="N57" s="19">
        <v>1</v>
      </c>
      <c r="O57" t="s">
        <v>14</v>
      </c>
      <c r="P57" t="s">
        <v>20</v>
      </c>
      <c r="Q57" t="s">
        <v>16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37</v>
      </c>
      <c r="AC57">
        <v>19</v>
      </c>
    </row>
    <row r="58" spans="1:29" x14ac:dyDescent="0.25">
      <c r="A58">
        <v>133107741</v>
      </c>
      <c r="B58">
        <v>2031240660</v>
      </c>
      <c r="C58">
        <v>140</v>
      </c>
      <c r="E58" t="s">
        <v>10</v>
      </c>
      <c r="F58" t="s">
        <v>173</v>
      </c>
      <c r="G58">
        <v>2</v>
      </c>
      <c r="H58">
        <v>6</v>
      </c>
      <c r="I58">
        <v>0</v>
      </c>
      <c r="J58">
        <v>3</v>
      </c>
      <c r="K58" t="s">
        <v>21</v>
      </c>
      <c r="L58" s="18">
        <v>0</v>
      </c>
      <c r="M58" t="s">
        <v>21</v>
      </c>
      <c r="N58" s="18">
        <v>0.125</v>
      </c>
      <c r="O58" t="s">
        <v>14</v>
      </c>
      <c r="P58" t="s">
        <v>20</v>
      </c>
      <c r="Q58" t="s">
        <v>16</v>
      </c>
      <c r="T58" s="18">
        <v>0</v>
      </c>
      <c r="W58" s="18">
        <v>0</v>
      </c>
      <c r="Y58">
        <v>0</v>
      </c>
      <c r="Z58">
        <v>0</v>
      </c>
      <c r="AA58">
        <v>2</v>
      </c>
      <c r="AB58" t="s">
        <v>37</v>
      </c>
      <c r="AC58">
        <v>19</v>
      </c>
    </row>
    <row r="59" spans="1:29" x14ac:dyDescent="0.25">
      <c r="A59">
        <v>133414392</v>
      </c>
      <c r="B59">
        <v>2031322562</v>
      </c>
      <c r="C59">
        <v>10</v>
      </c>
      <c r="E59" t="s">
        <v>10</v>
      </c>
      <c r="F59" t="s">
        <v>174</v>
      </c>
      <c r="G59">
        <v>2</v>
      </c>
      <c r="H59">
        <v>6</v>
      </c>
      <c r="I59">
        <v>0</v>
      </c>
      <c r="J59">
        <v>3</v>
      </c>
      <c r="K59" t="s">
        <v>13</v>
      </c>
      <c r="L59" s="18">
        <v>0.3125</v>
      </c>
      <c r="M59" t="s">
        <v>13</v>
      </c>
      <c r="N59" s="18">
        <v>0.4375</v>
      </c>
      <c r="O59" t="s">
        <v>14</v>
      </c>
      <c r="P59" t="s">
        <v>20</v>
      </c>
      <c r="Q59" t="s">
        <v>16</v>
      </c>
      <c r="T59" s="18">
        <v>0</v>
      </c>
      <c r="W59" s="18">
        <v>0</v>
      </c>
      <c r="Y59">
        <v>0</v>
      </c>
      <c r="Z59">
        <v>0</v>
      </c>
      <c r="AA59">
        <v>2</v>
      </c>
      <c r="AB59" t="s">
        <v>37</v>
      </c>
      <c r="AC59">
        <v>19</v>
      </c>
    </row>
    <row r="60" spans="1:29" x14ac:dyDescent="0.25">
      <c r="A60">
        <v>133414413</v>
      </c>
      <c r="B60">
        <v>2031322562</v>
      </c>
      <c r="C60">
        <v>20</v>
      </c>
      <c r="E60" t="s">
        <v>10</v>
      </c>
      <c r="F60" t="s">
        <v>175</v>
      </c>
      <c r="G60">
        <v>2</v>
      </c>
      <c r="H60">
        <v>2</v>
      </c>
      <c r="I60">
        <v>0</v>
      </c>
      <c r="J60">
        <v>1</v>
      </c>
      <c r="K60" t="s">
        <v>13</v>
      </c>
      <c r="L60" s="18">
        <v>0.4375</v>
      </c>
      <c r="M60" t="s">
        <v>13</v>
      </c>
      <c r="N60" s="18">
        <v>0.47916666666666669</v>
      </c>
      <c r="O60" t="s">
        <v>14</v>
      </c>
      <c r="P60" t="s">
        <v>20</v>
      </c>
      <c r="Q60" t="s">
        <v>16</v>
      </c>
      <c r="T60" s="18">
        <v>0</v>
      </c>
      <c r="W60" s="18">
        <v>0</v>
      </c>
      <c r="Y60">
        <v>0</v>
      </c>
      <c r="Z60">
        <v>0</v>
      </c>
      <c r="AA60">
        <v>2</v>
      </c>
      <c r="AB60" t="s">
        <v>37</v>
      </c>
      <c r="AC60">
        <v>19</v>
      </c>
    </row>
    <row r="61" spans="1:29" x14ac:dyDescent="0.25">
      <c r="A61">
        <v>133414414</v>
      </c>
      <c r="B61">
        <v>2031322562</v>
      </c>
      <c r="C61">
        <v>30</v>
      </c>
      <c r="E61" t="s">
        <v>10</v>
      </c>
      <c r="F61" t="s">
        <v>176</v>
      </c>
      <c r="G61">
        <v>2</v>
      </c>
      <c r="H61">
        <v>4</v>
      </c>
      <c r="I61">
        <v>0</v>
      </c>
      <c r="J61">
        <v>2</v>
      </c>
      <c r="K61" t="s">
        <v>13</v>
      </c>
      <c r="L61" s="18">
        <v>0.47916666666666669</v>
      </c>
      <c r="M61" t="s">
        <v>13</v>
      </c>
      <c r="N61" s="18">
        <v>0.60416666666666663</v>
      </c>
      <c r="O61" t="s">
        <v>14</v>
      </c>
      <c r="P61" t="s">
        <v>20</v>
      </c>
      <c r="Q61" t="s">
        <v>16</v>
      </c>
      <c r="T61" s="18">
        <v>0</v>
      </c>
      <c r="W61" s="18">
        <v>0</v>
      </c>
      <c r="Y61">
        <v>0</v>
      </c>
      <c r="Z61">
        <v>0</v>
      </c>
      <c r="AA61">
        <v>2</v>
      </c>
      <c r="AB61" t="s">
        <v>37</v>
      </c>
      <c r="AC61">
        <v>19</v>
      </c>
    </row>
    <row r="62" spans="1:29" x14ac:dyDescent="0.25">
      <c r="A62">
        <v>133414452</v>
      </c>
      <c r="B62">
        <v>2031322722</v>
      </c>
      <c r="C62">
        <v>10</v>
      </c>
      <c r="E62" t="s">
        <v>10</v>
      </c>
      <c r="F62" t="s">
        <v>177</v>
      </c>
      <c r="G62">
        <v>2</v>
      </c>
      <c r="H62">
        <v>6</v>
      </c>
      <c r="I62">
        <v>0</v>
      </c>
      <c r="J62">
        <v>3</v>
      </c>
      <c r="K62" t="s">
        <v>13</v>
      </c>
      <c r="L62" s="18">
        <v>0.4375</v>
      </c>
      <c r="M62" t="s">
        <v>13</v>
      </c>
      <c r="N62" s="18">
        <v>0.60416666666666663</v>
      </c>
      <c r="O62" t="s">
        <v>14</v>
      </c>
      <c r="P62" t="s">
        <v>20</v>
      </c>
      <c r="Q62" t="s">
        <v>16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37</v>
      </c>
      <c r="AC62">
        <v>19</v>
      </c>
    </row>
    <row r="63" spans="1:29" x14ac:dyDescent="0.25">
      <c r="A63">
        <v>133415107</v>
      </c>
      <c r="B63">
        <v>2031322722</v>
      </c>
      <c r="C63">
        <v>20</v>
      </c>
      <c r="E63" t="s">
        <v>10</v>
      </c>
      <c r="F63" t="s">
        <v>178</v>
      </c>
      <c r="G63">
        <v>2</v>
      </c>
      <c r="H63">
        <v>2</v>
      </c>
      <c r="I63">
        <v>0</v>
      </c>
      <c r="J63">
        <v>1</v>
      </c>
      <c r="K63" t="s">
        <v>13</v>
      </c>
      <c r="L63" s="18">
        <v>0.60416666666666663</v>
      </c>
      <c r="M63" t="s">
        <v>13</v>
      </c>
      <c r="N63" s="18">
        <v>0.64583333333333337</v>
      </c>
      <c r="O63" t="s">
        <v>14</v>
      </c>
      <c r="P63" t="s">
        <v>20</v>
      </c>
      <c r="Q63" t="s">
        <v>16</v>
      </c>
      <c r="T63" s="18">
        <v>0</v>
      </c>
      <c r="W63" s="18">
        <v>0</v>
      </c>
      <c r="Y63">
        <v>0</v>
      </c>
      <c r="Z63">
        <v>0</v>
      </c>
      <c r="AA63">
        <v>2</v>
      </c>
      <c r="AB63" t="s">
        <v>37</v>
      </c>
      <c r="AC63">
        <v>19</v>
      </c>
    </row>
    <row r="64" spans="1:29" x14ac:dyDescent="0.25">
      <c r="A64">
        <v>133415108</v>
      </c>
      <c r="B64">
        <v>2031322722</v>
      </c>
      <c r="C64">
        <v>30</v>
      </c>
      <c r="E64" t="s">
        <v>10</v>
      </c>
      <c r="F64" t="s">
        <v>179</v>
      </c>
      <c r="G64">
        <v>2</v>
      </c>
      <c r="H64">
        <v>4</v>
      </c>
      <c r="I64">
        <v>0</v>
      </c>
      <c r="J64">
        <v>2</v>
      </c>
      <c r="K64" t="s">
        <v>13</v>
      </c>
      <c r="L64" s="18">
        <v>0.64583333333333337</v>
      </c>
      <c r="M64" t="s">
        <v>13</v>
      </c>
      <c r="N64" s="18">
        <v>0.72916666666666663</v>
      </c>
      <c r="O64" t="s">
        <v>14</v>
      </c>
      <c r="P64" t="s">
        <v>20</v>
      </c>
      <c r="Q64" t="s">
        <v>16</v>
      </c>
      <c r="T64" s="18">
        <v>0</v>
      </c>
      <c r="W64" s="18">
        <v>0</v>
      </c>
      <c r="Y64">
        <v>0</v>
      </c>
      <c r="Z64">
        <v>0</v>
      </c>
      <c r="AA64">
        <v>2</v>
      </c>
      <c r="AB64" t="s">
        <v>37</v>
      </c>
      <c r="AC64">
        <v>19</v>
      </c>
    </row>
    <row r="65" spans="1:29" x14ac:dyDescent="0.25">
      <c r="A65">
        <v>133415397</v>
      </c>
      <c r="B65">
        <v>2031322890</v>
      </c>
      <c r="C65">
        <v>10</v>
      </c>
      <c r="E65" t="s">
        <v>10</v>
      </c>
      <c r="F65" t="s">
        <v>180</v>
      </c>
      <c r="G65">
        <v>2</v>
      </c>
      <c r="H65">
        <v>6</v>
      </c>
      <c r="I65">
        <v>0</v>
      </c>
      <c r="J65">
        <v>3</v>
      </c>
      <c r="K65" t="s">
        <v>13</v>
      </c>
      <c r="L65" s="18">
        <v>0.3125</v>
      </c>
      <c r="M65" t="s">
        <v>13</v>
      </c>
      <c r="N65" s="18">
        <v>0.4375</v>
      </c>
      <c r="O65" t="s">
        <v>14</v>
      </c>
      <c r="P65" t="s">
        <v>20</v>
      </c>
      <c r="Q65" t="s">
        <v>16</v>
      </c>
      <c r="T65" s="18">
        <v>0</v>
      </c>
      <c r="W65" s="18">
        <v>0</v>
      </c>
      <c r="Y65">
        <v>0</v>
      </c>
      <c r="Z65">
        <v>0</v>
      </c>
      <c r="AA65">
        <v>2</v>
      </c>
      <c r="AB65" t="s">
        <v>37</v>
      </c>
      <c r="AC65">
        <v>19</v>
      </c>
    </row>
    <row r="66" spans="1:29" x14ac:dyDescent="0.25">
      <c r="A66">
        <v>133415956</v>
      </c>
      <c r="B66">
        <v>2031322890</v>
      </c>
      <c r="C66">
        <v>20</v>
      </c>
      <c r="E66" t="s">
        <v>10</v>
      </c>
      <c r="F66" t="s">
        <v>181</v>
      </c>
      <c r="G66">
        <v>2</v>
      </c>
      <c r="H66">
        <v>2</v>
      </c>
      <c r="I66">
        <v>0</v>
      </c>
      <c r="J66">
        <v>1</v>
      </c>
      <c r="K66" t="s">
        <v>13</v>
      </c>
      <c r="L66" s="18">
        <v>0.4375</v>
      </c>
      <c r="M66" t="s">
        <v>13</v>
      </c>
      <c r="N66" s="18">
        <v>0.47916666666666669</v>
      </c>
      <c r="O66" t="s">
        <v>14</v>
      </c>
      <c r="P66" t="s">
        <v>20</v>
      </c>
      <c r="Q66" t="s">
        <v>16</v>
      </c>
      <c r="T66" s="18">
        <v>0</v>
      </c>
      <c r="W66" s="18">
        <v>0</v>
      </c>
      <c r="Y66">
        <v>0</v>
      </c>
      <c r="Z66">
        <v>0</v>
      </c>
      <c r="AA66">
        <v>2</v>
      </c>
      <c r="AB66" t="s">
        <v>37</v>
      </c>
      <c r="AC66">
        <v>19</v>
      </c>
    </row>
    <row r="67" spans="1:29" x14ac:dyDescent="0.25">
      <c r="A67">
        <v>133415957</v>
      </c>
      <c r="B67">
        <v>2031322890</v>
      </c>
      <c r="C67">
        <v>30</v>
      </c>
      <c r="E67" t="s">
        <v>10</v>
      </c>
      <c r="F67" t="s">
        <v>182</v>
      </c>
      <c r="G67">
        <v>2</v>
      </c>
      <c r="H67">
        <v>4</v>
      </c>
      <c r="I67">
        <v>0</v>
      </c>
      <c r="J67">
        <v>2</v>
      </c>
      <c r="K67" t="s">
        <v>13</v>
      </c>
      <c r="L67" s="18">
        <v>0.47916666666666669</v>
      </c>
      <c r="M67" t="s">
        <v>13</v>
      </c>
      <c r="N67" s="18">
        <v>0.60416666666666663</v>
      </c>
      <c r="O67" t="s">
        <v>14</v>
      </c>
      <c r="P67" t="s">
        <v>20</v>
      </c>
      <c r="Q67" t="s">
        <v>16</v>
      </c>
      <c r="T67" s="18">
        <v>0</v>
      </c>
      <c r="W67" s="18">
        <v>0</v>
      </c>
      <c r="Y67">
        <v>0</v>
      </c>
      <c r="Z67">
        <v>0</v>
      </c>
      <c r="AA67">
        <v>2</v>
      </c>
      <c r="AB67" t="s">
        <v>37</v>
      </c>
      <c r="AC67">
        <v>19</v>
      </c>
    </row>
    <row r="68" spans="1:29" x14ac:dyDescent="0.25">
      <c r="A68">
        <v>133431155</v>
      </c>
      <c r="B68">
        <v>2031324300</v>
      </c>
      <c r="C68">
        <v>100</v>
      </c>
      <c r="E68" t="s">
        <v>10</v>
      </c>
      <c r="F68" t="s">
        <v>183</v>
      </c>
      <c r="G68">
        <v>1</v>
      </c>
      <c r="H68">
        <v>0.2</v>
      </c>
      <c r="I68">
        <v>0</v>
      </c>
      <c r="J68">
        <v>0.2</v>
      </c>
      <c r="K68" t="s">
        <v>21</v>
      </c>
      <c r="L68" s="18">
        <v>0.45634259259259258</v>
      </c>
      <c r="M68" t="s">
        <v>21</v>
      </c>
      <c r="N68" s="18">
        <v>0.46467592592592594</v>
      </c>
      <c r="O68" t="s">
        <v>23</v>
      </c>
      <c r="P68" t="s">
        <v>20</v>
      </c>
      <c r="Q68" t="s">
        <v>16</v>
      </c>
      <c r="T68" s="18">
        <v>0</v>
      </c>
      <c r="W68" s="18">
        <v>0</v>
      </c>
      <c r="Y68">
        <v>0</v>
      </c>
      <c r="Z68">
        <v>0</v>
      </c>
      <c r="AB68" t="s">
        <v>37</v>
      </c>
      <c r="AC68">
        <v>19</v>
      </c>
    </row>
    <row r="69" spans="1:29" x14ac:dyDescent="0.25">
      <c r="A69">
        <v>133685419</v>
      </c>
      <c r="B69">
        <v>2031349577</v>
      </c>
      <c r="C69">
        <v>50</v>
      </c>
      <c r="E69" t="s">
        <v>10</v>
      </c>
      <c r="F69" t="s">
        <v>184</v>
      </c>
      <c r="G69">
        <v>2</v>
      </c>
      <c r="H69">
        <v>2</v>
      </c>
      <c r="I69">
        <v>0</v>
      </c>
      <c r="J69">
        <v>1</v>
      </c>
      <c r="K69" t="s">
        <v>13</v>
      </c>
      <c r="L69" s="18">
        <v>0.6875</v>
      </c>
      <c r="M69" t="s">
        <v>13</v>
      </c>
      <c r="N69" s="18">
        <v>0.72916666666666663</v>
      </c>
      <c r="O69" t="s">
        <v>14</v>
      </c>
      <c r="P69" t="s">
        <v>20</v>
      </c>
      <c r="Q69" t="s">
        <v>16</v>
      </c>
      <c r="T69" s="18">
        <v>0</v>
      </c>
      <c r="W69" s="18">
        <v>0</v>
      </c>
      <c r="Y69">
        <v>0</v>
      </c>
      <c r="Z69">
        <v>0</v>
      </c>
      <c r="AA69">
        <v>1</v>
      </c>
      <c r="AB69" t="s">
        <v>37</v>
      </c>
      <c r="AC69">
        <v>19</v>
      </c>
    </row>
    <row r="70" spans="1:29" x14ac:dyDescent="0.25">
      <c r="A70">
        <v>133685421</v>
      </c>
      <c r="B70">
        <v>2031349577</v>
      </c>
      <c r="C70">
        <v>70</v>
      </c>
      <c r="E70" t="s">
        <v>10</v>
      </c>
      <c r="F70" t="s">
        <v>185</v>
      </c>
      <c r="G70">
        <v>2</v>
      </c>
      <c r="H70">
        <v>2</v>
      </c>
      <c r="I70">
        <v>0</v>
      </c>
      <c r="J70">
        <v>1</v>
      </c>
      <c r="K70" t="s">
        <v>21</v>
      </c>
      <c r="L70" s="18">
        <v>0.47916666666666669</v>
      </c>
      <c r="M70" t="s">
        <v>21</v>
      </c>
      <c r="N70" s="18">
        <v>0.5625</v>
      </c>
      <c r="O70" t="s">
        <v>14</v>
      </c>
      <c r="P70" t="s">
        <v>20</v>
      </c>
      <c r="Q70" t="s">
        <v>16</v>
      </c>
      <c r="T70" s="18">
        <v>0</v>
      </c>
      <c r="W70" s="18">
        <v>0</v>
      </c>
      <c r="Y70">
        <v>0</v>
      </c>
      <c r="Z70">
        <v>0</v>
      </c>
      <c r="AA70">
        <v>1</v>
      </c>
      <c r="AB70" t="s">
        <v>37</v>
      </c>
      <c r="AC70">
        <v>19</v>
      </c>
    </row>
    <row r="71" spans="1:29" x14ac:dyDescent="0.25">
      <c r="A71">
        <v>133685431</v>
      </c>
      <c r="B71">
        <v>2031349577</v>
      </c>
      <c r="C71">
        <v>220</v>
      </c>
      <c r="E71" t="s">
        <v>10</v>
      </c>
      <c r="F71" t="s">
        <v>186</v>
      </c>
      <c r="G71">
        <v>1</v>
      </c>
      <c r="H71">
        <v>0.2</v>
      </c>
      <c r="I71">
        <v>0</v>
      </c>
      <c r="J71">
        <v>0.2</v>
      </c>
      <c r="K71" t="s">
        <v>18</v>
      </c>
      <c r="L71" s="18">
        <v>0.47916666666666669</v>
      </c>
      <c r="M71" t="s">
        <v>18</v>
      </c>
      <c r="N71" s="18">
        <v>0.48749999999999999</v>
      </c>
      <c r="O71" t="s">
        <v>14</v>
      </c>
      <c r="P71" t="s">
        <v>20</v>
      </c>
      <c r="Q71" t="s">
        <v>16</v>
      </c>
      <c r="T71" s="18">
        <v>0</v>
      </c>
      <c r="W71" s="18">
        <v>0</v>
      </c>
      <c r="Y71">
        <v>0</v>
      </c>
      <c r="Z71">
        <v>0</v>
      </c>
      <c r="AA71">
        <v>1</v>
      </c>
      <c r="AB71" t="s">
        <v>37</v>
      </c>
      <c r="AC71">
        <v>19</v>
      </c>
    </row>
    <row r="72" spans="1:29" x14ac:dyDescent="0.25">
      <c r="A72">
        <v>133587582</v>
      </c>
      <c r="B72">
        <v>2031354194</v>
      </c>
      <c r="C72">
        <v>80</v>
      </c>
      <c r="E72" t="s">
        <v>10</v>
      </c>
      <c r="F72" t="s">
        <v>187</v>
      </c>
      <c r="G72">
        <v>1</v>
      </c>
      <c r="H72">
        <v>0.2</v>
      </c>
      <c r="I72">
        <v>0</v>
      </c>
      <c r="J72">
        <v>0.2</v>
      </c>
      <c r="K72" t="s">
        <v>33</v>
      </c>
      <c r="L72" s="18">
        <v>0.32083333333333336</v>
      </c>
      <c r="M72" t="s">
        <v>33</v>
      </c>
      <c r="N72" s="18">
        <v>0.32916666666666666</v>
      </c>
      <c r="O72" t="s">
        <v>14</v>
      </c>
      <c r="P72" t="s">
        <v>15</v>
      </c>
      <c r="Q72" t="s">
        <v>16</v>
      </c>
      <c r="T72" s="18">
        <v>0</v>
      </c>
      <c r="W72" s="18">
        <v>0</v>
      </c>
      <c r="Y72">
        <v>0</v>
      </c>
      <c r="Z72">
        <v>0</v>
      </c>
      <c r="AB72" t="s">
        <v>37</v>
      </c>
      <c r="AC72">
        <v>19</v>
      </c>
    </row>
    <row r="73" spans="1:29" x14ac:dyDescent="0.25">
      <c r="A73">
        <v>133639702</v>
      </c>
      <c r="B73">
        <v>2031357143</v>
      </c>
      <c r="C73">
        <v>20</v>
      </c>
      <c r="E73" t="s">
        <v>10</v>
      </c>
      <c r="F73" t="s">
        <v>188</v>
      </c>
      <c r="G73">
        <v>2</v>
      </c>
      <c r="H73">
        <v>4</v>
      </c>
      <c r="I73">
        <v>0</v>
      </c>
      <c r="J73">
        <v>2</v>
      </c>
      <c r="K73" t="s">
        <v>13</v>
      </c>
      <c r="L73" s="18">
        <v>0.125</v>
      </c>
      <c r="M73" t="s">
        <v>13</v>
      </c>
      <c r="N73" s="18">
        <v>0.20833333333333334</v>
      </c>
      <c r="O73" t="s">
        <v>14</v>
      </c>
      <c r="P73" t="s">
        <v>20</v>
      </c>
      <c r="Q73" t="s">
        <v>16</v>
      </c>
      <c r="T73" s="18">
        <v>0</v>
      </c>
      <c r="W73" s="18">
        <v>0</v>
      </c>
      <c r="Y73">
        <v>0</v>
      </c>
      <c r="Z73">
        <v>0</v>
      </c>
      <c r="AB73" t="s">
        <v>37</v>
      </c>
      <c r="AC73">
        <v>19</v>
      </c>
    </row>
    <row r="74" spans="1:29" x14ac:dyDescent="0.25">
      <c r="A74">
        <v>133639692</v>
      </c>
      <c r="B74">
        <v>2031357145</v>
      </c>
      <c r="C74">
        <v>20</v>
      </c>
      <c r="E74" t="s">
        <v>10</v>
      </c>
      <c r="F74" t="s">
        <v>189</v>
      </c>
      <c r="G74">
        <v>2</v>
      </c>
      <c r="H74">
        <v>6</v>
      </c>
      <c r="I74">
        <v>0</v>
      </c>
      <c r="J74">
        <v>3</v>
      </c>
      <c r="K74" t="s">
        <v>13</v>
      </c>
      <c r="L74" s="18">
        <v>0.47916666666666669</v>
      </c>
      <c r="M74" t="s">
        <v>13</v>
      </c>
      <c r="N74" s="18">
        <v>0.64583333333333337</v>
      </c>
      <c r="O74" t="s">
        <v>14</v>
      </c>
      <c r="P74" t="s">
        <v>20</v>
      </c>
      <c r="Q74" t="s">
        <v>16</v>
      </c>
      <c r="T74" s="18">
        <v>0</v>
      </c>
      <c r="W74" s="18">
        <v>0</v>
      </c>
      <c r="Y74">
        <v>0</v>
      </c>
      <c r="Z74">
        <v>0</v>
      </c>
      <c r="AB74" t="s">
        <v>37</v>
      </c>
      <c r="AC74">
        <v>19</v>
      </c>
    </row>
    <row r="75" spans="1:29" x14ac:dyDescent="0.25">
      <c r="A75">
        <v>133639693</v>
      </c>
      <c r="B75">
        <v>2031357145</v>
      </c>
      <c r="C75">
        <v>30</v>
      </c>
      <c r="E75" t="s">
        <v>10</v>
      </c>
      <c r="F75" t="s">
        <v>190</v>
      </c>
      <c r="G75">
        <v>2</v>
      </c>
      <c r="H75">
        <v>6</v>
      </c>
      <c r="I75">
        <v>0</v>
      </c>
      <c r="J75">
        <v>3</v>
      </c>
      <c r="K75" t="s">
        <v>13</v>
      </c>
      <c r="L75" s="18">
        <v>0.64583333333333337</v>
      </c>
      <c r="M75" t="s">
        <v>21</v>
      </c>
      <c r="N75" s="18">
        <v>0.35416666666666669</v>
      </c>
      <c r="O75" t="s">
        <v>14</v>
      </c>
      <c r="P75" t="s">
        <v>20</v>
      </c>
      <c r="Q75" t="s">
        <v>16</v>
      </c>
      <c r="T75" s="18">
        <v>0</v>
      </c>
      <c r="W75" s="18">
        <v>0</v>
      </c>
      <c r="Y75">
        <v>0</v>
      </c>
      <c r="Z75">
        <v>0</v>
      </c>
      <c r="AB75" t="s">
        <v>37</v>
      </c>
      <c r="AC75">
        <v>19</v>
      </c>
    </row>
    <row r="76" spans="1:29" x14ac:dyDescent="0.25">
      <c r="A76">
        <v>133639694</v>
      </c>
      <c r="B76">
        <v>2031357145</v>
      </c>
      <c r="C76">
        <v>40</v>
      </c>
      <c r="E76" t="s">
        <v>10</v>
      </c>
      <c r="F76" t="s">
        <v>191</v>
      </c>
      <c r="G76">
        <v>2</v>
      </c>
      <c r="H76">
        <v>2</v>
      </c>
      <c r="I76">
        <v>0</v>
      </c>
      <c r="J76">
        <v>1</v>
      </c>
      <c r="K76" t="s">
        <v>21</v>
      </c>
      <c r="L76" s="18">
        <v>0.35416666666666669</v>
      </c>
      <c r="M76" t="s">
        <v>21</v>
      </c>
      <c r="N76" s="18">
        <v>0.39583333333333331</v>
      </c>
      <c r="O76" t="s">
        <v>14</v>
      </c>
      <c r="P76" t="s">
        <v>20</v>
      </c>
      <c r="Q76" t="s">
        <v>16</v>
      </c>
      <c r="T76" s="18">
        <v>0</v>
      </c>
      <c r="W76" s="18">
        <v>0</v>
      </c>
      <c r="Y76">
        <v>0</v>
      </c>
      <c r="Z76">
        <v>0</v>
      </c>
      <c r="AB76" t="s">
        <v>37</v>
      </c>
      <c r="AC76">
        <v>19</v>
      </c>
    </row>
    <row r="77" spans="1:29" x14ac:dyDescent="0.25">
      <c r="A77">
        <v>133639696</v>
      </c>
      <c r="B77">
        <v>2031357145</v>
      </c>
      <c r="C77">
        <v>60</v>
      </c>
      <c r="E77" t="s">
        <v>10</v>
      </c>
      <c r="F77" t="s">
        <v>192</v>
      </c>
      <c r="G77">
        <v>2</v>
      </c>
      <c r="H77">
        <v>2</v>
      </c>
      <c r="I77">
        <v>0</v>
      </c>
      <c r="J77">
        <v>1</v>
      </c>
      <c r="K77" t="s">
        <v>21</v>
      </c>
      <c r="L77" s="18">
        <v>0.5625</v>
      </c>
      <c r="M77" t="s">
        <v>21</v>
      </c>
      <c r="N77" s="18">
        <v>0.60416666666666663</v>
      </c>
      <c r="O77" t="s">
        <v>14</v>
      </c>
      <c r="P77" t="s">
        <v>20</v>
      </c>
      <c r="Q77" t="s">
        <v>16</v>
      </c>
      <c r="T77" s="18">
        <v>0</v>
      </c>
      <c r="W77" s="18">
        <v>0</v>
      </c>
      <c r="Y77">
        <v>0</v>
      </c>
      <c r="Z77">
        <v>0</v>
      </c>
      <c r="AB77" t="s">
        <v>37</v>
      </c>
      <c r="AC77">
        <v>19</v>
      </c>
    </row>
    <row r="78" spans="1:29" x14ac:dyDescent="0.25">
      <c r="A78">
        <v>133639697</v>
      </c>
      <c r="B78">
        <v>2031357145</v>
      </c>
      <c r="C78">
        <v>70</v>
      </c>
      <c r="E78" t="s">
        <v>10</v>
      </c>
      <c r="F78" t="s">
        <v>193</v>
      </c>
      <c r="G78">
        <v>2</v>
      </c>
      <c r="H78">
        <v>6</v>
      </c>
      <c r="I78">
        <v>0</v>
      </c>
      <c r="J78">
        <v>3</v>
      </c>
      <c r="K78" t="s">
        <v>21</v>
      </c>
      <c r="L78" s="18">
        <v>0.60416666666666663</v>
      </c>
      <c r="M78" t="s">
        <v>21</v>
      </c>
      <c r="N78" s="18">
        <v>0.72916666666666663</v>
      </c>
      <c r="O78" t="s">
        <v>14</v>
      </c>
      <c r="P78" t="s">
        <v>20</v>
      </c>
      <c r="Q78" t="s">
        <v>16</v>
      </c>
      <c r="T78" s="18">
        <v>0</v>
      </c>
      <c r="W78" s="18">
        <v>0</v>
      </c>
      <c r="Y78">
        <v>0</v>
      </c>
      <c r="Z78">
        <v>0</v>
      </c>
      <c r="AB78" t="s">
        <v>37</v>
      </c>
      <c r="AC78">
        <v>19</v>
      </c>
    </row>
    <row r="79" spans="1:29" x14ac:dyDescent="0.25">
      <c r="A79">
        <v>133639698</v>
      </c>
      <c r="B79">
        <v>2031357145</v>
      </c>
      <c r="C79">
        <v>80</v>
      </c>
      <c r="E79" t="s">
        <v>10</v>
      </c>
      <c r="F79" t="s">
        <v>194</v>
      </c>
      <c r="G79">
        <v>2</v>
      </c>
      <c r="H79">
        <v>6</v>
      </c>
      <c r="I79">
        <v>0</v>
      </c>
      <c r="J79">
        <v>3</v>
      </c>
      <c r="K79" t="s">
        <v>18</v>
      </c>
      <c r="L79" s="18">
        <v>0.3125</v>
      </c>
      <c r="M79" t="s">
        <v>18</v>
      </c>
      <c r="N79" s="18">
        <v>0.4375</v>
      </c>
      <c r="O79" t="s">
        <v>14</v>
      </c>
      <c r="P79" t="s">
        <v>20</v>
      </c>
      <c r="Q79" t="s">
        <v>16</v>
      </c>
      <c r="T79" s="18">
        <v>0</v>
      </c>
      <c r="W79" s="18">
        <v>0</v>
      </c>
      <c r="Y79">
        <v>0</v>
      </c>
      <c r="Z79">
        <v>0</v>
      </c>
      <c r="AB79" t="s">
        <v>37</v>
      </c>
      <c r="AC79">
        <v>19</v>
      </c>
    </row>
    <row r="80" spans="1:29" x14ac:dyDescent="0.25">
      <c r="A80">
        <v>133639700</v>
      </c>
      <c r="B80">
        <v>2031357145</v>
      </c>
      <c r="C80">
        <v>100</v>
      </c>
      <c r="E80" t="s">
        <v>10</v>
      </c>
      <c r="F80" t="s">
        <v>195</v>
      </c>
      <c r="G80">
        <v>4</v>
      </c>
      <c r="H80">
        <v>8</v>
      </c>
      <c r="I80">
        <v>0</v>
      </c>
      <c r="J80">
        <v>2</v>
      </c>
      <c r="K80" t="s">
        <v>18</v>
      </c>
      <c r="L80" s="18">
        <v>0.47916666666666669</v>
      </c>
      <c r="M80" t="s">
        <v>18</v>
      </c>
      <c r="N80" s="18">
        <v>0.60416666666666663</v>
      </c>
      <c r="O80" t="s">
        <v>14</v>
      </c>
      <c r="P80" t="s">
        <v>20</v>
      </c>
      <c r="Q80" t="s">
        <v>16</v>
      </c>
      <c r="T80" s="18">
        <v>0</v>
      </c>
      <c r="W80" s="18">
        <v>0</v>
      </c>
      <c r="Y80">
        <v>0</v>
      </c>
      <c r="Z80">
        <v>0</v>
      </c>
      <c r="AB80" t="s">
        <v>37</v>
      </c>
      <c r="AC80">
        <v>19</v>
      </c>
    </row>
    <row r="81" spans="1:29" x14ac:dyDescent="0.25">
      <c r="A81">
        <v>133639701</v>
      </c>
      <c r="B81">
        <v>2031357145</v>
      </c>
      <c r="C81">
        <v>110</v>
      </c>
      <c r="E81" t="s">
        <v>10</v>
      </c>
      <c r="F81" t="s">
        <v>196</v>
      </c>
      <c r="G81">
        <v>1</v>
      </c>
      <c r="H81">
        <v>0.2</v>
      </c>
      <c r="I81">
        <v>0</v>
      </c>
      <c r="J81">
        <v>0.2</v>
      </c>
      <c r="K81" t="s">
        <v>18</v>
      </c>
      <c r="L81" s="18">
        <v>0.60416666666666663</v>
      </c>
      <c r="M81" t="s">
        <v>18</v>
      </c>
      <c r="N81" s="18">
        <v>0.61250000000000004</v>
      </c>
      <c r="O81" t="s">
        <v>14</v>
      </c>
      <c r="P81" t="s">
        <v>20</v>
      </c>
      <c r="Q81" t="s">
        <v>16</v>
      </c>
      <c r="T81" s="18">
        <v>0</v>
      </c>
      <c r="W81" s="18">
        <v>0</v>
      </c>
      <c r="Y81">
        <v>0</v>
      </c>
      <c r="Z81">
        <v>0</v>
      </c>
      <c r="AB81" t="s">
        <v>37</v>
      </c>
      <c r="AC81">
        <v>19</v>
      </c>
    </row>
    <row r="82" spans="1:29" x14ac:dyDescent="0.25">
      <c r="A82">
        <v>133678576</v>
      </c>
      <c r="B82">
        <v>2031362129</v>
      </c>
      <c r="C82">
        <v>20</v>
      </c>
      <c r="E82" t="s">
        <v>10</v>
      </c>
      <c r="F82" t="s">
        <v>197</v>
      </c>
      <c r="G82">
        <v>2</v>
      </c>
      <c r="H82">
        <v>4</v>
      </c>
      <c r="I82">
        <v>0</v>
      </c>
      <c r="J82">
        <v>2</v>
      </c>
      <c r="K82" t="s">
        <v>13</v>
      </c>
      <c r="L82" s="18">
        <v>0.47916666666666669</v>
      </c>
      <c r="M82" t="s">
        <v>13</v>
      </c>
      <c r="N82" s="18">
        <v>0.60416666666666663</v>
      </c>
      <c r="O82" t="s">
        <v>14</v>
      </c>
      <c r="P82" t="s">
        <v>20</v>
      </c>
      <c r="Q82" t="s">
        <v>16</v>
      </c>
      <c r="T82" s="18">
        <v>0</v>
      </c>
      <c r="W82" s="18">
        <v>0</v>
      </c>
      <c r="Y82">
        <v>0</v>
      </c>
      <c r="Z82">
        <v>0</v>
      </c>
      <c r="AB82" t="s">
        <v>37</v>
      </c>
      <c r="AC82">
        <v>19</v>
      </c>
    </row>
    <row r="83" spans="1:29" x14ac:dyDescent="0.25">
      <c r="A83">
        <v>133678578</v>
      </c>
      <c r="B83">
        <v>2031362129</v>
      </c>
      <c r="C83">
        <v>35</v>
      </c>
      <c r="E83" t="s">
        <v>10</v>
      </c>
      <c r="F83" t="s">
        <v>198</v>
      </c>
      <c r="G83">
        <v>2</v>
      </c>
      <c r="H83">
        <v>2</v>
      </c>
      <c r="I83">
        <v>0</v>
      </c>
      <c r="J83">
        <v>1</v>
      </c>
      <c r="K83" t="s">
        <v>21</v>
      </c>
      <c r="L83" s="18">
        <v>0.35416666666666669</v>
      </c>
      <c r="M83" t="s">
        <v>21</v>
      </c>
      <c r="N83" s="18">
        <v>0.39583333333333331</v>
      </c>
      <c r="O83" t="s">
        <v>14</v>
      </c>
      <c r="P83" t="s">
        <v>20</v>
      </c>
      <c r="Q83" t="s">
        <v>16</v>
      </c>
      <c r="T83" s="18">
        <v>0</v>
      </c>
      <c r="W83" s="18">
        <v>0</v>
      </c>
      <c r="Y83">
        <v>0</v>
      </c>
      <c r="Z83">
        <v>0</v>
      </c>
      <c r="AB83" t="s">
        <v>37</v>
      </c>
      <c r="AC83">
        <v>19</v>
      </c>
    </row>
    <row r="84" spans="1:29" x14ac:dyDescent="0.25">
      <c r="A84">
        <v>133678607</v>
      </c>
      <c r="B84">
        <v>2031362129</v>
      </c>
      <c r="C84">
        <v>45</v>
      </c>
      <c r="E84" t="s">
        <v>10</v>
      </c>
      <c r="F84" t="s">
        <v>199</v>
      </c>
      <c r="G84">
        <v>2</v>
      </c>
      <c r="H84">
        <v>32</v>
      </c>
      <c r="I84">
        <v>0</v>
      </c>
      <c r="J84">
        <v>16</v>
      </c>
      <c r="K84" t="s">
        <v>21</v>
      </c>
      <c r="L84" s="18">
        <v>0.39583333333333331</v>
      </c>
      <c r="M84" t="s">
        <v>18</v>
      </c>
      <c r="N84" s="18">
        <v>0.72916666666666663</v>
      </c>
      <c r="O84" t="s">
        <v>14</v>
      </c>
      <c r="P84" t="s">
        <v>20</v>
      </c>
      <c r="Q84" t="s">
        <v>16</v>
      </c>
      <c r="T84" s="18">
        <v>0</v>
      </c>
      <c r="W84" s="18">
        <v>0</v>
      </c>
      <c r="Y84">
        <v>0</v>
      </c>
      <c r="Z84">
        <v>0</v>
      </c>
      <c r="AB84" t="s">
        <v>37</v>
      </c>
      <c r="AC84">
        <v>19</v>
      </c>
    </row>
    <row r="85" spans="1:29" x14ac:dyDescent="0.25">
      <c r="A85">
        <v>133678581</v>
      </c>
      <c r="B85">
        <v>2031362129</v>
      </c>
      <c r="C85">
        <v>60</v>
      </c>
      <c r="E85" t="s">
        <v>10</v>
      </c>
      <c r="F85" t="s">
        <v>200</v>
      </c>
      <c r="G85">
        <v>2</v>
      </c>
      <c r="H85">
        <v>2</v>
      </c>
      <c r="I85">
        <v>0</v>
      </c>
      <c r="J85">
        <v>1</v>
      </c>
      <c r="K85" t="s">
        <v>19</v>
      </c>
      <c r="L85" s="18">
        <v>0.47916666666666669</v>
      </c>
      <c r="M85" t="s">
        <v>19</v>
      </c>
      <c r="N85" s="18">
        <v>0.5625</v>
      </c>
      <c r="O85" t="s">
        <v>14</v>
      </c>
      <c r="P85" t="s">
        <v>20</v>
      </c>
      <c r="Q85" t="s">
        <v>16</v>
      </c>
      <c r="T85" s="18">
        <v>0</v>
      </c>
      <c r="W85" s="18">
        <v>0</v>
      </c>
      <c r="Y85">
        <v>0</v>
      </c>
      <c r="Z85">
        <v>0</v>
      </c>
      <c r="AB85" t="s">
        <v>37</v>
      </c>
      <c r="AC85">
        <v>19</v>
      </c>
    </row>
    <row r="86" spans="1:29" x14ac:dyDescent="0.25">
      <c r="A86">
        <v>133678582</v>
      </c>
      <c r="B86">
        <v>2031362129</v>
      </c>
      <c r="C86">
        <v>70</v>
      </c>
      <c r="E86" t="s">
        <v>10</v>
      </c>
      <c r="F86" t="s">
        <v>201</v>
      </c>
      <c r="G86">
        <v>2</v>
      </c>
      <c r="H86">
        <v>4</v>
      </c>
      <c r="I86">
        <v>0</v>
      </c>
      <c r="J86">
        <v>2</v>
      </c>
      <c r="K86" t="s">
        <v>19</v>
      </c>
      <c r="L86" s="18">
        <v>0.5625</v>
      </c>
      <c r="M86" t="s">
        <v>19</v>
      </c>
      <c r="N86" s="18">
        <v>0.64583333333333337</v>
      </c>
      <c r="O86" t="s">
        <v>14</v>
      </c>
      <c r="P86" t="s">
        <v>20</v>
      </c>
      <c r="Q86" t="s">
        <v>16</v>
      </c>
      <c r="T86" s="18">
        <v>0</v>
      </c>
      <c r="W86" s="18">
        <v>0</v>
      </c>
      <c r="Y86">
        <v>0</v>
      </c>
      <c r="Z86">
        <v>0</v>
      </c>
      <c r="AB86" t="s">
        <v>37</v>
      </c>
      <c r="AC86">
        <v>19</v>
      </c>
    </row>
    <row r="87" spans="1:29" x14ac:dyDescent="0.25">
      <c r="A87">
        <v>133678610</v>
      </c>
      <c r="B87">
        <v>2031362129</v>
      </c>
      <c r="C87">
        <v>75</v>
      </c>
      <c r="E87" t="s">
        <v>10</v>
      </c>
      <c r="F87" t="s">
        <v>202</v>
      </c>
      <c r="G87">
        <v>2</v>
      </c>
      <c r="H87">
        <v>6</v>
      </c>
      <c r="I87">
        <v>0</v>
      </c>
      <c r="J87">
        <v>3</v>
      </c>
      <c r="K87" t="s">
        <v>19</v>
      </c>
      <c r="L87" s="18">
        <v>0.64583333333333337</v>
      </c>
      <c r="M87" t="s">
        <v>33</v>
      </c>
      <c r="N87" s="18">
        <v>0.35416666666666669</v>
      </c>
      <c r="O87" t="s">
        <v>14</v>
      </c>
      <c r="P87" t="s">
        <v>20</v>
      </c>
      <c r="Q87" t="s">
        <v>16</v>
      </c>
      <c r="T87" s="18">
        <v>0</v>
      </c>
      <c r="W87" s="18">
        <v>0</v>
      </c>
      <c r="Y87">
        <v>0</v>
      </c>
      <c r="Z87">
        <v>0</v>
      </c>
      <c r="AB87" t="s">
        <v>37</v>
      </c>
      <c r="AC87">
        <v>19</v>
      </c>
    </row>
    <row r="88" spans="1:29" x14ac:dyDescent="0.25">
      <c r="A88">
        <v>133678612</v>
      </c>
      <c r="B88">
        <v>2031362129</v>
      </c>
      <c r="C88">
        <v>79</v>
      </c>
      <c r="E88" t="s">
        <v>10</v>
      </c>
      <c r="F88" t="s">
        <v>203</v>
      </c>
      <c r="G88">
        <v>2</v>
      </c>
      <c r="H88">
        <v>32</v>
      </c>
      <c r="I88">
        <v>0</v>
      </c>
      <c r="J88">
        <v>16</v>
      </c>
      <c r="K88" t="s">
        <v>33</v>
      </c>
      <c r="L88" s="18">
        <v>0.39583333333333331</v>
      </c>
      <c r="M88" t="s">
        <v>204</v>
      </c>
      <c r="N88" s="18">
        <v>0.35416666666666669</v>
      </c>
      <c r="O88" t="s">
        <v>14</v>
      </c>
      <c r="P88" t="s">
        <v>20</v>
      </c>
      <c r="Q88" t="s">
        <v>16</v>
      </c>
      <c r="T88" s="18">
        <v>0</v>
      </c>
      <c r="W88" s="18">
        <v>0</v>
      </c>
      <c r="Y88">
        <v>0</v>
      </c>
      <c r="Z88">
        <v>0</v>
      </c>
      <c r="AB88" t="s">
        <v>37</v>
      </c>
      <c r="AC88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700.2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133483104</v>
      </c>
      <c r="B3">
        <v>2027174131</v>
      </c>
      <c r="C3">
        <v>105</v>
      </c>
      <c r="E3" t="s">
        <v>11</v>
      </c>
      <c r="F3" t="s">
        <v>205</v>
      </c>
      <c r="G3">
        <v>4</v>
      </c>
      <c r="H3">
        <v>8</v>
      </c>
      <c r="I3">
        <v>0</v>
      </c>
      <c r="J3">
        <v>2</v>
      </c>
      <c r="K3" t="s">
        <v>19</v>
      </c>
      <c r="L3" s="18">
        <v>0.47916666666666669</v>
      </c>
      <c r="M3" t="s">
        <v>19</v>
      </c>
      <c r="N3" s="18">
        <v>0.60416666666666663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122497722</v>
      </c>
      <c r="B4">
        <v>2029225187</v>
      </c>
      <c r="C4">
        <v>60</v>
      </c>
      <c r="E4" t="s">
        <v>11</v>
      </c>
      <c r="F4" t="s">
        <v>206</v>
      </c>
      <c r="G4">
        <v>4</v>
      </c>
      <c r="H4">
        <v>16</v>
      </c>
      <c r="I4">
        <v>0</v>
      </c>
      <c r="J4">
        <v>4</v>
      </c>
      <c r="K4" t="s">
        <v>13</v>
      </c>
      <c r="L4" s="18">
        <v>0.5625</v>
      </c>
      <c r="M4" t="s">
        <v>13</v>
      </c>
      <c r="N4" s="18">
        <v>0.72916666666666663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133336067</v>
      </c>
      <c r="B5">
        <v>2029387707</v>
      </c>
      <c r="C5">
        <v>81</v>
      </c>
      <c r="E5" t="s">
        <v>11</v>
      </c>
      <c r="F5" t="s">
        <v>207</v>
      </c>
      <c r="G5">
        <v>4</v>
      </c>
      <c r="H5">
        <v>24</v>
      </c>
      <c r="I5">
        <v>0</v>
      </c>
      <c r="J5">
        <v>6</v>
      </c>
      <c r="K5" t="s">
        <v>13</v>
      </c>
      <c r="L5" s="18">
        <v>0.5625</v>
      </c>
      <c r="M5" t="s">
        <v>21</v>
      </c>
      <c r="N5" s="18">
        <v>0.39583333333333331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C5">
        <v>19</v>
      </c>
    </row>
    <row r="6" spans="1:29" x14ac:dyDescent="0.25">
      <c r="A6">
        <v>121374956</v>
      </c>
      <c r="B6">
        <v>2029488812</v>
      </c>
      <c r="C6">
        <v>10</v>
      </c>
      <c r="E6" t="s">
        <v>11</v>
      </c>
      <c r="F6" t="s">
        <v>208</v>
      </c>
      <c r="G6">
        <v>4</v>
      </c>
      <c r="H6">
        <v>16</v>
      </c>
      <c r="I6">
        <v>0</v>
      </c>
      <c r="J6">
        <v>4</v>
      </c>
      <c r="K6" t="s">
        <v>13</v>
      </c>
      <c r="L6" s="18">
        <v>0.3125</v>
      </c>
      <c r="M6" t="s">
        <v>13</v>
      </c>
      <c r="N6" s="18">
        <v>0.47916666666666669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133463653</v>
      </c>
      <c r="B7">
        <v>2029647241</v>
      </c>
      <c r="C7">
        <v>3035</v>
      </c>
      <c r="E7" t="s">
        <v>11</v>
      </c>
      <c r="F7" t="s">
        <v>209</v>
      </c>
      <c r="G7">
        <v>4</v>
      </c>
      <c r="H7">
        <v>64</v>
      </c>
      <c r="I7">
        <v>0</v>
      </c>
      <c r="J7">
        <v>16</v>
      </c>
      <c r="K7" t="s">
        <v>13</v>
      </c>
      <c r="L7" s="18">
        <v>0</v>
      </c>
      <c r="M7" t="s">
        <v>13</v>
      </c>
      <c r="N7" s="18">
        <v>0.66666666666666663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19</v>
      </c>
    </row>
    <row r="8" spans="1:29" x14ac:dyDescent="0.25">
      <c r="A8">
        <v>122748158</v>
      </c>
      <c r="B8">
        <v>2029703465</v>
      </c>
      <c r="C8">
        <v>60</v>
      </c>
      <c r="E8" t="s">
        <v>11</v>
      </c>
      <c r="F8" t="s">
        <v>210</v>
      </c>
      <c r="G8">
        <v>4</v>
      </c>
      <c r="H8">
        <v>36</v>
      </c>
      <c r="I8">
        <v>0</v>
      </c>
      <c r="J8">
        <v>9</v>
      </c>
      <c r="K8" t="s">
        <v>19</v>
      </c>
      <c r="L8" s="18">
        <v>0.40540509259259261</v>
      </c>
      <c r="M8" t="s">
        <v>33</v>
      </c>
      <c r="N8" s="18">
        <v>0.40540509259259261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132220989</v>
      </c>
      <c r="B9">
        <v>2029908922</v>
      </c>
      <c r="C9">
        <v>61</v>
      </c>
      <c r="E9" t="s">
        <v>11</v>
      </c>
      <c r="F9" t="s">
        <v>211</v>
      </c>
      <c r="G9">
        <v>8</v>
      </c>
      <c r="H9">
        <v>64</v>
      </c>
      <c r="I9">
        <v>0</v>
      </c>
      <c r="J9">
        <v>8</v>
      </c>
      <c r="K9" t="s">
        <v>13</v>
      </c>
      <c r="L9" s="18">
        <v>0.69707175925925924</v>
      </c>
      <c r="M9" t="s">
        <v>21</v>
      </c>
      <c r="N9" s="18">
        <v>0.65540509259259261</v>
      </c>
      <c r="O9" t="s">
        <v>91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19</v>
      </c>
    </row>
    <row r="10" spans="1:29" x14ac:dyDescent="0.25">
      <c r="A10">
        <v>126536762</v>
      </c>
      <c r="B10">
        <v>2030285635</v>
      </c>
      <c r="C10">
        <v>10</v>
      </c>
      <c r="E10" t="s">
        <v>11</v>
      </c>
      <c r="F10" t="s">
        <v>212</v>
      </c>
      <c r="G10">
        <v>4</v>
      </c>
      <c r="H10">
        <v>12</v>
      </c>
      <c r="I10">
        <v>0</v>
      </c>
      <c r="J10">
        <v>3</v>
      </c>
      <c r="K10" t="s">
        <v>13</v>
      </c>
      <c r="L10" s="18">
        <v>0.35416666666666669</v>
      </c>
      <c r="M10" t="s">
        <v>13</v>
      </c>
      <c r="N10" s="18">
        <v>0.47916666666666669</v>
      </c>
      <c r="O10" t="s">
        <v>91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2</v>
      </c>
      <c r="AB10" t="s">
        <v>37</v>
      </c>
      <c r="AC10">
        <v>19</v>
      </c>
    </row>
    <row r="11" spans="1:29" x14ac:dyDescent="0.25">
      <c r="A11">
        <v>133139381</v>
      </c>
      <c r="B11">
        <v>2030341894</v>
      </c>
      <c r="C11">
        <v>40</v>
      </c>
      <c r="E11" t="s">
        <v>11</v>
      </c>
      <c r="F11" t="s">
        <v>213</v>
      </c>
      <c r="G11">
        <v>1</v>
      </c>
      <c r="H11">
        <v>0.2</v>
      </c>
      <c r="I11">
        <v>0</v>
      </c>
      <c r="J11">
        <v>0.2</v>
      </c>
      <c r="K11" t="s">
        <v>13</v>
      </c>
      <c r="L11" s="18">
        <v>0.6875</v>
      </c>
      <c r="M11" t="s">
        <v>13</v>
      </c>
      <c r="N11" s="18">
        <v>0.6958333333333333</v>
      </c>
      <c r="O11" t="s">
        <v>214</v>
      </c>
      <c r="P11" t="s">
        <v>25</v>
      </c>
      <c r="Q11" t="s">
        <v>168</v>
      </c>
      <c r="T11" s="18">
        <v>0</v>
      </c>
      <c r="W11" s="18">
        <v>0</v>
      </c>
      <c r="Y11">
        <v>0</v>
      </c>
      <c r="Z11">
        <v>0</v>
      </c>
      <c r="AB11" t="s">
        <v>37</v>
      </c>
      <c r="AC11">
        <v>19</v>
      </c>
    </row>
    <row r="12" spans="1:29" x14ac:dyDescent="0.25">
      <c r="A12">
        <v>133678624</v>
      </c>
      <c r="B12">
        <v>2030341896</v>
      </c>
      <c r="C12">
        <v>5</v>
      </c>
      <c r="E12" t="s">
        <v>11</v>
      </c>
      <c r="F12" t="s">
        <v>215</v>
      </c>
      <c r="G12">
        <v>4</v>
      </c>
      <c r="H12">
        <v>16</v>
      </c>
      <c r="I12">
        <v>0</v>
      </c>
      <c r="J12">
        <v>4</v>
      </c>
      <c r="K12" t="s">
        <v>13</v>
      </c>
      <c r="L12" s="18">
        <v>0</v>
      </c>
      <c r="M12" t="s">
        <v>13</v>
      </c>
      <c r="N12" s="18">
        <v>0.16666666666666666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133678625</v>
      </c>
      <c r="B13">
        <v>2030341896</v>
      </c>
      <c r="C13">
        <v>6</v>
      </c>
      <c r="E13" t="s">
        <v>11</v>
      </c>
      <c r="F13" t="s">
        <v>216</v>
      </c>
      <c r="G13">
        <v>4</v>
      </c>
      <c r="H13">
        <v>8</v>
      </c>
      <c r="I13">
        <v>0</v>
      </c>
      <c r="J13">
        <v>2</v>
      </c>
      <c r="K13" t="s">
        <v>13</v>
      </c>
      <c r="L13" s="18">
        <v>0.16666666666666666</v>
      </c>
      <c r="M13" t="s">
        <v>13</v>
      </c>
      <c r="N13" s="18">
        <v>0.25</v>
      </c>
      <c r="O13" t="s">
        <v>14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B13" t="s">
        <v>37</v>
      </c>
      <c r="AC13">
        <v>19</v>
      </c>
    </row>
    <row r="14" spans="1:29" x14ac:dyDescent="0.25">
      <c r="A14">
        <v>133678888</v>
      </c>
      <c r="B14">
        <v>2030341896</v>
      </c>
      <c r="C14">
        <v>116</v>
      </c>
      <c r="E14" t="s">
        <v>11</v>
      </c>
      <c r="F14" t="s">
        <v>217</v>
      </c>
      <c r="G14">
        <v>4</v>
      </c>
      <c r="H14">
        <v>16</v>
      </c>
      <c r="I14">
        <v>0</v>
      </c>
      <c r="J14">
        <v>4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127648389</v>
      </c>
      <c r="B15">
        <v>2030341896</v>
      </c>
      <c r="C15">
        <v>165</v>
      </c>
      <c r="E15" t="s">
        <v>11</v>
      </c>
      <c r="F15" t="s">
        <v>218</v>
      </c>
      <c r="G15">
        <v>4</v>
      </c>
      <c r="H15">
        <v>12</v>
      </c>
      <c r="I15">
        <v>0</v>
      </c>
      <c r="J15">
        <v>3</v>
      </c>
      <c r="K15" t="s">
        <v>13</v>
      </c>
      <c r="L15" s="18">
        <v>0.5</v>
      </c>
      <c r="M15" t="s">
        <v>13</v>
      </c>
      <c r="N15" s="18">
        <v>0.625</v>
      </c>
      <c r="O15" t="s">
        <v>36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133678626</v>
      </c>
      <c r="B16">
        <v>2030341896</v>
      </c>
      <c r="C16">
        <v>250</v>
      </c>
      <c r="E16" t="s">
        <v>11</v>
      </c>
      <c r="F16" t="s">
        <v>219</v>
      </c>
      <c r="G16">
        <v>4</v>
      </c>
      <c r="H16">
        <v>32</v>
      </c>
      <c r="I16">
        <v>0</v>
      </c>
      <c r="J16">
        <v>8</v>
      </c>
      <c r="K16" t="s">
        <v>18</v>
      </c>
      <c r="L16" s="18">
        <v>0.33333333333333331</v>
      </c>
      <c r="M16" t="s">
        <v>18</v>
      </c>
      <c r="N16" s="18">
        <v>0.66666666666666663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133677475</v>
      </c>
      <c r="B17">
        <v>2030377954</v>
      </c>
      <c r="C17">
        <v>399</v>
      </c>
      <c r="E17" t="s">
        <v>11</v>
      </c>
      <c r="F17" t="s">
        <v>220</v>
      </c>
      <c r="G17">
        <v>4</v>
      </c>
      <c r="H17">
        <v>32</v>
      </c>
      <c r="I17">
        <v>0</v>
      </c>
      <c r="J17">
        <v>8</v>
      </c>
      <c r="K17" t="s">
        <v>13</v>
      </c>
      <c r="L17" s="18">
        <v>0</v>
      </c>
      <c r="M17" t="s">
        <v>13</v>
      </c>
      <c r="N17" s="18">
        <v>0.33333333333333331</v>
      </c>
      <c r="O17" t="s">
        <v>14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128710869</v>
      </c>
      <c r="B18">
        <v>2030424705</v>
      </c>
      <c r="C18">
        <v>140</v>
      </c>
      <c r="E18" t="s">
        <v>11</v>
      </c>
      <c r="F18" t="s">
        <v>221</v>
      </c>
      <c r="G18">
        <v>4</v>
      </c>
      <c r="H18">
        <v>8</v>
      </c>
      <c r="I18">
        <v>0</v>
      </c>
      <c r="J18">
        <v>2</v>
      </c>
      <c r="K18" t="s">
        <v>18</v>
      </c>
      <c r="L18" s="18">
        <v>0.65540509259259261</v>
      </c>
      <c r="M18" t="s">
        <v>19</v>
      </c>
      <c r="N18" s="18">
        <v>0.32207175925925924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127342094</v>
      </c>
      <c r="B19">
        <v>2030424705</v>
      </c>
      <c r="C19">
        <v>145</v>
      </c>
      <c r="E19" t="s">
        <v>11</v>
      </c>
      <c r="F19" t="s">
        <v>222</v>
      </c>
      <c r="G19">
        <v>4</v>
      </c>
      <c r="H19">
        <v>12</v>
      </c>
      <c r="I19">
        <v>0</v>
      </c>
      <c r="J19">
        <v>3</v>
      </c>
      <c r="K19" t="s">
        <v>18</v>
      </c>
      <c r="L19" s="18">
        <v>0.65416666666666667</v>
      </c>
      <c r="M19" t="s">
        <v>19</v>
      </c>
      <c r="N19" s="18">
        <v>0.36249999999999999</v>
      </c>
      <c r="O19" t="s">
        <v>91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129220185</v>
      </c>
      <c r="B20">
        <v>2030488429</v>
      </c>
      <c r="C20">
        <v>60</v>
      </c>
      <c r="E20" t="s">
        <v>11</v>
      </c>
      <c r="F20" t="s">
        <v>223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0.39583333333333331</v>
      </c>
      <c r="M20" t="s">
        <v>21</v>
      </c>
      <c r="N20" s="18">
        <v>0.5625</v>
      </c>
      <c r="O20" t="s">
        <v>14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129745034</v>
      </c>
      <c r="B21">
        <v>2030488429</v>
      </c>
      <c r="C21">
        <v>90</v>
      </c>
      <c r="E21" t="s">
        <v>11</v>
      </c>
      <c r="F21" t="s">
        <v>224</v>
      </c>
      <c r="G21">
        <v>4</v>
      </c>
      <c r="H21">
        <v>8</v>
      </c>
      <c r="I21">
        <v>0</v>
      </c>
      <c r="J21">
        <v>2</v>
      </c>
      <c r="K21" t="s">
        <v>19</v>
      </c>
      <c r="L21" s="18">
        <v>0.5625</v>
      </c>
      <c r="M21" t="s">
        <v>19</v>
      </c>
      <c r="N21" s="18">
        <v>0.64583333333333337</v>
      </c>
      <c r="O21" t="s">
        <v>14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129248542</v>
      </c>
      <c r="B22">
        <v>2030733833</v>
      </c>
      <c r="C22">
        <v>40</v>
      </c>
      <c r="E22" t="s">
        <v>11</v>
      </c>
      <c r="F22" t="s">
        <v>225</v>
      </c>
      <c r="G22">
        <v>4</v>
      </c>
      <c r="H22">
        <v>24</v>
      </c>
      <c r="I22">
        <v>0</v>
      </c>
      <c r="J22">
        <v>6</v>
      </c>
      <c r="K22" t="s">
        <v>13</v>
      </c>
      <c r="L22" s="18">
        <v>0.3125</v>
      </c>
      <c r="M22" t="s">
        <v>13</v>
      </c>
      <c r="N22" s="18">
        <v>0.60416666666666663</v>
      </c>
      <c r="O22" t="s">
        <v>91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130636847</v>
      </c>
      <c r="B23">
        <v>2030921235</v>
      </c>
      <c r="C23">
        <v>40</v>
      </c>
      <c r="E23" t="s">
        <v>11</v>
      </c>
      <c r="F23" t="s">
        <v>226</v>
      </c>
      <c r="G23">
        <v>8</v>
      </c>
      <c r="H23">
        <v>32</v>
      </c>
      <c r="I23">
        <v>0</v>
      </c>
      <c r="J23">
        <v>4</v>
      </c>
      <c r="K23" t="s">
        <v>33</v>
      </c>
      <c r="L23" s="18">
        <v>0.39118055555555553</v>
      </c>
      <c r="M23" t="s">
        <v>33</v>
      </c>
      <c r="N23" s="18">
        <v>0.5995138888888889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130848826</v>
      </c>
      <c r="B24">
        <v>2030965404</v>
      </c>
      <c r="C24">
        <v>10</v>
      </c>
      <c r="E24" t="s">
        <v>11</v>
      </c>
      <c r="F24" t="s">
        <v>227</v>
      </c>
      <c r="G24">
        <v>4</v>
      </c>
      <c r="H24">
        <v>12</v>
      </c>
      <c r="I24">
        <v>0</v>
      </c>
      <c r="J24">
        <v>3</v>
      </c>
      <c r="K24" t="s">
        <v>18</v>
      </c>
      <c r="L24" s="18">
        <v>0.4375</v>
      </c>
      <c r="M24" t="s">
        <v>18</v>
      </c>
      <c r="N24" s="18">
        <v>0.60416666666666663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19</v>
      </c>
    </row>
    <row r="25" spans="1:29" x14ac:dyDescent="0.25">
      <c r="A25">
        <v>131221865</v>
      </c>
      <c r="B25">
        <v>2030988902</v>
      </c>
      <c r="C25">
        <v>100</v>
      </c>
      <c r="E25" t="s">
        <v>11</v>
      </c>
      <c r="F25" t="s">
        <v>228</v>
      </c>
      <c r="G25">
        <v>4</v>
      </c>
      <c r="H25">
        <v>12</v>
      </c>
      <c r="I25">
        <v>0</v>
      </c>
      <c r="J25">
        <v>3</v>
      </c>
      <c r="K25" t="s">
        <v>21</v>
      </c>
      <c r="L25" s="18">
        <v>0.47916666666666669</v>
      </c>
      <c r="M25" t="s">
        <v>21</v>
      </c>
      <c r="N25" s="18">
        <v>0.64583333333333337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131221866</v>
      </c>
      <c r="B26">
        <v>2030988902</v>
      </c>
      <c r="C26">
        <v>110</v>
      </c>
      <c r="E26" t="s">
        <v>11</v>
      </c>
      <c r="F26" t="s">
        <v>229</v>
      </c>
      <c r="G26">
        <v>4</v>
      </c>
      <c r="H26">
        <v>12</v>
      </c>
      <c r="I26">
        <v>0</v>
      </c>
      <c r="J26">
        <v>3</v>
      </c>
      <c r="K26" t="s">
        <v>21</v>
      </c>
      <c r="L26" s="18">
        <v>0.70634259259259258</v>
      </c>
      <c r="M26" t="s">
        <v>18</v>
      </c>
      <c r="N26" s="18">
        <v>0.41467592592592595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131240760</v>
      </c>
      <c r="B27">
        <v>2030996716</v>
      </c>
      <c r="C27">
        <v>80</v>
      </c>
      <c r="E27" t="s">
        <v>11</v>
      </c>
      <c r="F27" t="s">
        <v>230</v>
      </c>
      <c r="G27">
        <v>4</v>
      </c>
      <c r="H27">
        <v>16</v>
      </c>
      <c r="I27">
        <v>0</v>
      </c>
      <c r="J27">
        <v>4</v>
      </c>
      <c r="K27" t="s">
        <v>13</v>
      </c>
      <c r="L27" s="18">
        <v>0.35416666666666669</v>
      </c>
      <c r="M27" t="s">
        <v>13</v>
      </c>
      <c r="N27" s="18">
        <v>0.5625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C27">
        <v>19</v>
      </c>
    </row>
    <row r="28" spans="1:29" x14ac:dyDescent="0.25">
      <c r="A28">
        <v>131240763</v>
      </c>
      <c r="B28">
        <v>2030996716</v>
      </c>
      <c r="C28">
        <v>95</v>
      </c>
      <c r="E28" t="s">
        <v>11</v>
      </c>
      <c r="F28" t="s">
        <v>231</v>
      </c>
      <c r="G28">
        <v>4</v>
      </c>
      <c r="H28">
        <v>8</v>
      </c>
      <c r="I28">
        <v>0</v>
      </c>
      <c r="J28">
        <v>2</v>
      </c>
      <c r="K28" t="s">
        <v>13</v>
      </c>
      <c r="L28" s="18">
        <v>0.35416666666666669</v>
      </c>
      <c r="M28" t="s">
        <v>13</v>
      </c>
      <c r="N28" s="18">
        <v>0.4375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C28">
        <v>19</v>
      </c>
    </row>
    <row r="29" spans="1:29" x14ac:dyDescent="0.25">
      <c r="A29">
        <v>131240793</v>
      </c>
      <c r="B29">
        <v>2030996716</v>
      </c>
      <c r="C29">
        <v>340</v>
      </c>
      <c r="E29" t="s">
        <v>11</v>
      </c>
      <c r="F29" t="s">
        <v>232</v>
      </c>
      <c r="G29">
        <v>4</v>
      </c>
      <c r="H29">
        <v>12</v>
      </c>
      <c r="I29">
        <v>0</v>
      </c>
      <c r="J29">
        <v>3</v>
      </c>
      <c r="K29" t="s">
        <v>13</v>
      </c>
      <c r="L29" s="18">
        <v>0.35416666666666669</v>
      </c>
      <c r="M29" t="s">
        <v>13</v>
      </c>
      <c r="N29" s="18">
        <v>0.47916666666666669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C29">
        <v>19</v>
      </c>
    </row>
    <row r="30" spans="1:29" x14ac:dyDescent="0.25">
      <c r="A30">
        <v>131240795</v>
      </c>
      <c r="B30">
        <v>2030996716</v>
      </c>
      <c r="C30">
        <v>380</v>
      </c>
      <c r="E30" t="s">
        <v>11</v>
      </c>
      <c r="F30" t="s">
        <v>233</v>
      </c>
      <c r="G30">
        <v>4</v>
      </c>
      <c r="H30">
        <v>6</v>
      </c>
      <c r="I30">
        <v>0</v>
      </c>
      <c r="J30">
        <v>1.5</v>
      </c>
      <c r="K30" t="s">
        <v>13</v>
      </c>
      <c r="L30" s="18">
        <v>0.45833333333333331</v>
      </c>
      <c r="M30" t="s">
        <v>13</v>
      </c>
      <c r="N30" s="18">
        <v>0.5625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C30">
        <v>19</v>
      </c>
    </row>
    <row r="31" spans="1:29" x14ac:dyDescent="0.25">
      <c r="A31">
        <v>131240812</v>
      </c>
      <c r="B31">
        <v>2030996716</v>
      </c>
      <c r="C31">
        <v>750</v>
      </c>
      <c r="E31" t="s">
        <v>11</v>
      </c>
      <c r="F31" t="s">
        <v>234</v>
      </c>
      <c r="G31">
        <v>4</v>
      </c>
      <c r="H31">
        <v>12</v>
      </c>
      <c r="I31">
        <v>0</v>
      </c>
      <c r="J31">
        <v>3</v>
      </c>
      <c r="K31" t="s">
        <v>13</v>
      </c>
      <c r="L31" s="18">
        <v>0.4375</v>
      </c>
      <c r="M31" t="s">
        <v>13</v>
      </c>
      <c r="N31" s="18">
        <v>0.60416666666666663</v>
      </c>
      <c r="O31" t="s">
        <v>14</v>
      </c>
      <c r="P31" t="s">
        <v>25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C31">
        <v>19</v>
      </c>
    </row>
    <row r="32" spans="1:29" x14ac:dyDescent="0.25">
      <c r="A32">
        <v>131240816</v>
      </c>
      <c r="B32">
        <v>2030996716</v>
      </c>
      <c r="C32">
        <v>790</v>
      </c>
      <c r="E32" t="s">
        <v>11</v>
      </c>
      <c r="F32" t="s">
        <v>235</v>
      </c>
      <c r="G32">
        <v>4</v>
      </c>
      <c r="H32">
        <v>6</v>
      </c>
      <c r="I32">
        <v>0</v>
      </c>
      <c r="J32">
        <v>1.5</v>
      </c>
      <c r="K32" t="s">
        <v>13</v>
      </c>
      <c r="L32" s="18">
        <v>0.39583333333333331</v>
      </c>
      <c r="M32" t="s">
        <v>13</v>
      </c>
      <c r="N32" s="18">
        <v>0.45833333333333331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C32">
        <v>19</v>
      </c>
    </row>
    <row r="33" spans="1:29" x14ac:dyDescent="0.25">
      <c r="A33">
        <v>131998595</v>
      </c>
      <c r="B33">
        <v>2031082122</v>
      </c>
      <c r="C33">
        <v>5</v>
      </c>
      <c r="E33" t="s">
        <v>11</v>
      </c>
      <c r="F33" t="s">
        <v>236</v>
      </c>
      <c r="G33">
        <v>4</v>
      </c>
      <c r="H33">
        <v>8</v>
      </c>
      <c r="I33">
        <v>0</v>
      </c>
      <c r="J33">
        <v>2</v>
      </c>
      <c r="K33" t="s">
        <v>33</v>
      </c>
      <c r="L33" s="18">
        <v>0.3125</v>
      </c>
      <c r="M33" t="s">
        <v>33</v>
      </c>
      <c r="N33" s="18">
        <v>0.39583333333333331</v>
      </c>
      <c r="O33" t="s">
        <v>91</v>
      </c>
      <c r="P33" t="s">
        <v>20</v>
      </c>
      <c r="Q33" t="s">
        <v>16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A34">
        <v>131999972</v>
      </c>
      <c r="B34">
        <v>2031093996</v>
      </c>
      <c r="C34">
        <v>30</v>
      </c>
      <c r="E34" t="s">
        <v>11</v>
      </c>
      <c r="F34" t="s">
        <v>237</v>
      </c>
      <c r="G34">
        <v>4</v>
      </c>
      <c r="H34">
        <v>24</v>
      </c>
      <c r="I34">
        <v>0</v>
      </c>
      <c r="J34">
        <v>6</v>
      </c>
      <c r="K34" t="s">
        <v>19</v>
      </c>
      <c r="L34" s="18">
        <v>0.36373842592592592</v>
      </c>
      <c r="M34" t="s">
        <v>19</v>
      </c>
      <c r="N34" s="18">
        <v>0.65540509259259261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19</v>
      </c>
    </row>
    <row r="35" spans="1:29" x14ac:dyDescent="0.25">
      <c r="A35">
        <v>133274793</v>
      </c>
      <c r="B35">
        <v>2031093996</v>
      </c>
      <c r="C35">
        <v>20</v>
      </c>
      <c r="D35">
        <v>30</v>
      </c>
      <c r="E35" t="s">
        <v>11</v>
      </c>
      <c r="F35" t="s">
        <v>238</v>
      </c>
      <c r="G35">
        <v>2</v>
      </c>
      <c r="H35">
        <v>4</v>
      </c>
      <c r="I35">
        <v>0</v>
      </c>
      <c r="J35">
        <v>2</v>
      </c>
      <c r="K35" t="s">
        <v>18</v>
      </c>
      <c r="L35" s="18">
        <v>0.61373842592592598</v>
      </c>
      <c r="M35" t="s">
        <v>19</v>
      </c>
      <c r="N35" s="18">
        <v>0.36373842592592592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19</v>
      </c>
    </row>
    <row r="36" spans="1:29" x14ac:dyDescent="0.25">
      <c r="A36">
        <v>133274783</v>
      </c>
      <c r="B36">
        <v>2031093996</v>
      </c>
      <c r="C36">
        <v>32</v>
      </c>
      <c r="E36" t="s">
        <v>11</v>
      </c>
      <c r="F36" t="s">
        <v>239</v>
      </c>
      <c r="G36">
        <v>4</v>
      </c>
      <c r="H36">
        <v>8</v>
      </c>
      <c r="I36">
        <v>0</v>
      </c>
      <c r="J36">
        <v>2</v>
      </c>
      <c r="K36" t="s">
        <v>19</v>
      </c>
      <c r="L36" s="18">
        <v>0.65540509259259261</v>
      </c>
      <c r="M36" t="s">
        <v>33</v>
      </c>
      <c r="N36" s="18">
        <v>0.32207175925925924</v>
      </c>
      <c r="O36" t="s">
        <v>14</v>
      </c>
      <c r="P36" t="s">
        <v>20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37</v>
      </c>
      <c r="AC36">
        <v>19</v>
      </c>
    </row>
    <row r="37" spans="1:29" x14ac:dyDescent="0.25">
      <c r="A37">
        <v>132244705</v>
      </c>
      <c r="B37">
        <v>2031095068</v>
      </c>
      <c r="C37">
        <v>60</v>
      </c>
      <c r="E37" t="s">
        <v>11</v>
      </c>
      <c r="F37" t="s">
        <v>240</v>
      </c>
      <c r="G37">
        <v>4</v>
      </c>
      <c r="H37">
        <v>8</v>
      </c>
      <c r="I37">
        <v>0</v>
      </c>
      <c r="J37">
        <v>2</v>
      </c>
      <c r="K37" t="s">
        <v>18</v>
      </c>
      <c r="L37" s="18">
        <v>0.60416666666666663</v>
      </c>
      <c r="M37" t="s">
        <v>18</v>
      </c>
      <c r="N37" s="18">
        <v>0.6875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A37">
        <v>1</v>
      </c>
      <c r="AB37" t="s">
        <v>37</v>
      </c>
      <c r="AC37">
        <v>19</v>
      </c>
    </row>
    <row r="38" spans="1:29" x14ac:dyDescent="0.25">
      <c r="A38">
        <v>132702052</v>
      </c>
      <c r="B38">
        <v>2031111270</v>
      </c>
      <c r="C38">
        <v>140</v>
      </c>
      <c r="E38" t="s">
        <v>11</v>
      </c>
      <c r="F38" t="s">
        <v>241</v>
      </c>
      <c r="G38">
        <v>4</v>
      </c>
      <c r="H38">
        <v>4</v>
      </c>
      <c r="I38">
        <v>0</v>
      </c>
      <c r="J38">
        <v>1</v>
      </c>
      <c r="K38" t="s">
        <v>13</v>
      </c>
      <c r="L38" s="18">
        <v>0.3125</v>
      </c>
      <c r="M38" t="s">
        <v>13</v>
      </c>
      <c r="N38" s="18">
        <v>0.35416666666666669</v>
      </c>
      <c r="O38" t="s">
        <v>36</v>
      </c>
      <c r="P38" t="s">
        <v>15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132684459</v>
      </c>
      <c r="B39">
        <v>2031202772</v>
      </c>
      <c r="C39">
        <v>10</v>
      </c>
      <c r="E39" t="s">
        <v>11</v>
      </c>
      <c r="F39" t="s">
        <v>242</v>
      </c>
      <c r="G39">
        <v>4</v>
      </c>
      <c r="H39">
        <v>16</v>
      </c>
      <c r="I39">
        <v>0</v>
      </c>
      <c r="J39">
        <v>4</v>
      </c>
      <c r="K39" t="s">
        <v>19</v>
      </c>
      <c r="L39" s="18">
        <v>0.6875</v>
      </c>
      <c r="M39" t="s">
        <v>33</v>
      </c>
      <c r="N39" s="18">
        <v>0.4375</v>
      </c>
      <c r="O39" t="s">
        <v>14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37</v>
      </c>
      <c r="AC39">
        <v>19</v>
      </c>
    </row>
    <row r="40" spans="1:29" x14ac:dyDescent="0.25">
      <c r="A40">
        <v>133267910</v>
      </c>
      <c r="B40">
        <v>2031202772</v>
      </c>
      <c r="C40">
        <v>5</v>
      </c>
      <c r="D40">
        <v>30</v>
      </c>
      <c r="E40" t="s">
        <v>11</v>
      </c>
      <c r="F40" t="s">
        <v>243</v>
      </c>
      <c r="G40">
        <v>2</v>
      </c>
      <c r="H40">
        <v>8</v>
      </c>
      <c r="I40">
        <v>0</v>
      </c>
      <c r="J40">
        <v>4</v>
      </c>
      <c r="K40" t="s">
        <v>33</v>
      </c>
      <c r="L40" s="18">
        <v>0.48333333333333334</v>
      </c>
      <c r="M40" t="s">
        <v>244</v>
      </c>
      <c r="N40" s="18">
        <v>0.31666666666666665</v>
      </c>
      <c r="O40" t="s">
        <v>14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37</v>
      </c>
      <c r="AC40">
        <v>19</v>
      </c>
    </row>
    <row r="41" spans="1:29" x14ac:dyDescent="0.25">
      <c r="A41">
        <v>133267911</v>
      </c>
      <c r="B41">
        <v>2031202772</v>
      </c>
      <c r="C41">
        <v>65</v>
      </c>
      <c r="D41">
        <v>30</v>
      </c>
      <c r="E41" t="s">
        <v>11</v>
      </c>
      <c r="F41" t="s">
        <v>245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0.47916666666666669</v>
      </c>
      <c r="M41" t="s">
        <v>33</v>
      </c>
      <c r="N41" s="18">
        <v>0.6875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19</v>
      </c>
    </row>
    <row r="42" spans="1:29" x14ac:dyDescent="0.25">
      <c r="A42">
        <v>132981963</v>
      </c>
      <c r="B42">
        <v>2031202772</v>
      </c>
      <c r="C42">
        <v>50</v>
      </c>
      <c r="E42" t="s">
        <v>11</v>
      </c>
      <c r="F42" t="s">
        <v>246</v>
      </c>
      <c r="G42">
        <v>4</v>
      </c>
      <c r="H42">
        <v>8</v>
      </c>
      <c r="I42">
        <v>0</v>
      </c>
      <c r="J42">
        <v>2</v>
      </c>
      <c r="K42" t="s">
        <v>19</v>
      </c>
      <c r="L42" s="18">
        <v>0.64583333333333337</v>
      </c>
      <c r="M42" t="s">
        <v>19</v>
      </c>
      <c r="N42" s="18">
        <v>0.72916666666666663</v>
      </c>
      <c r="O42" t="s">
        <v>14</v>
      </c>
      <c r="P42" t="s">
        <v>20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A42">
        <v>2</v>
      </c>
      <c r="AB42" t="s">
        <v>37</v>
      </c>
      <c r="AC42">
        <v>19</v>
      </c>
    </row>
    <row r="43" spans="1:29" x14ac:dyDescent="0.25">
      <c r="A43">
        <v>133634511</v>
      </c>
      <c r="B43">
        <v>2031357143</v>
      </c>
      <c r="C43">
        <v>10</v>
      </c>
      <c r="E43" t="s">
        <v>11</v>
      </c>
      <c r="F43" t="s">
        <v>247</v>
      </c>
      <c r="G43">
        <v>4</v>
      </c>
      <c r="H43">
        <v>12</v>
      </c>
      <c r="I43">
        <v>0</v>
      </c>
      <c r="J43">
        <v>3</v>
      </c>
      <c r="K43" t="s">
        <v>13</v>
      </c>
      <c r="L43" s="18">
        <v>0</v>
      </c>
      <c r="M43" t="s">
        <v>13</v>
      </c>
      <c r="N43" s="18">
        <v>0.125</v>
      </c>
      <c r="O43" t="s">
        <v>14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133634517</v>
      </c>
      <c r="B44">
        <v>2031357145</v>
      </c>
      <c r="C44">
        <v>10</v>
      </c>
      <c r="E44" t="s">
        <v>11</v>
      </c>
      <c r="F44" t="s">
        <v>248</v>
      </c>
      <c r="G44">
        <v>4</v>
      </c>
      <c r="H44">
        <v>16</v>
      </c>
      <c r="I44">
        <v>0</v>
      </c>
      <c r="J44">
        <v>4</v>
      </c>
      <c r="K44" t="s">
        <v>13</v>
      </c>
      <c r="L44" s="18">
        <v>0.3125</v>
      </c>
      <c r="M44" t="s">
        <v>13</v>
      </c>
      <c r="N44" s="18">
        <v>0.47916666666666669</v>
      </c>
      <c r="O44" t="s">
        <v>14</v>
      </c>
      <c r="P44" t="s">
        <v>20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133678575</v>
      </c>
      <c r="B45">
        <v>2031362129</v>
      </c>
      <c r="C45">
        <v>10</v>
      </c>
      <c r="E45" t="s">
        <v>11</v>
      </c>
      <c r="F45" t="s">
        <v>249</v>
      </c>
      <c r="G45">
        <v>4</v>
      </c>
      <c r="H45">
        <v>16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14</v>
      </c>
      <c r="P45" t="s">
        <v>20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133678580</v>
      </c>
      <c r="B46">
        <v>2031362129</v>
      </c>
      <c r="C46">
        <v>50</v>
      </c>
      <c r="E46" t="s">
        <v>11</v>
      </c>
      <c r="F46" t="s">
        <v>250</v>
      </c>
      <c r="G46">
        <v>4</v>
      </c>
      <c r="H46">
        <v>12</v>
      </c>
      <c r="I46">
        <v>0</v>
      </c>
      <c r="J46">
        <v>3</v>
      </c>
      <c r="K46" t="s">
        <v>19</v>
      </c>
      <c r="L46" s="18">
        <v>0.35416666666666669</v>
      </c>
      <c r="M46" t="s">
        <v>19</v>
      </c>
      <c r="N46" s="18">
        <v>0.47916666666666669</v>
      </c>
      <c r="O46" t="s">
        <v>14</v>
      </c>
      <c r="P46" t="s">
        <v>20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2025-12-03T17:44:31Z</dcterms:modified>
</cp:coreProperties>
</file>