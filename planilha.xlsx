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petrobrasbr-my.sharepoint.com/personal/paulo_cainelles_prestserv_petrobras_com_br/Documents/Área de Trabalho/nivelamento/"/>
    </mc:Choice>
  </mc:AlternateContent>
  <xr:revisionPtr revIDLastSave="422" documentId="14_{3AE44733-C139-4DCE-ACF7-7A76ECA3B1AC}" xr6:coauthVersionLast="47" xr6:coauthVersionMax="47" xr10:uidLastSave="{13E17724-AE2F-41BB-8521-75ED21591C62}"/>
  <bookViews>
    <workbookView xWindow="-105" yWindow="0" windowWidth="26010" windowHeight="20985" tabRatio="1000" xr2:uid="{6F1CD188-6D62-48EE-9C78-77398EC325CC}"/>
  </bookViews>
  <sheets>
    <sheet name="NIVELADAS" sheetId="4" r:id="rId1"/>
    <sheet name="AUSETU T.E" sheetId="2" r:id="rId2"/>
    <sheet name="CALDTU T.E" sheetId="3" r:id="rId3"/>
    <sheet name="MANDTU T.E" sheetId="5" r:id="rId4"/>
    <sheet name="AUSETU UT" sheetId="6" r:id="rId5"/>
    <sheet name="CALDTU UT" sheetId="7" r:id="rId6"/>
    <sheet name="MANDTU UT" sheetId="8" r:id="rId7"/>
    <sheet name="ORG" sheetId="9" r:id="rId8"/>
  </sheets>
  <definedNames>
    <definedName name="_xlnm._FilterDatabase" localSheetId="7" hidden="1">ORG!$A$1:$AF$106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4" l="1"/>
  <c r="K42" i="4"/>
  <c r="K31" i="4"/>
  <c r="J41" i="4"/>
  <c r="J19" i="4"/>
  <c r="K20" i="4"/>
  <c r="H1" i="8"/>
  <c r="J43" i="4" s="1"/>
  <c r="H1" i="7"/>
  <c r="J32" i="4" s="1"/>
  <c r="H1" i="5"/>
  <c r="J42" i="4" s="1"/>
  <c r="H1" i="3"/>
  <c r="J31" i="4" s="1"/>
  <c r="H1" i="2"/>
  <c r="J20" i="4" s="1"/>
  <c r="H1" i="6"/>
  <c r="J21" i="4" s="1"/>
  <c r="E4" i="4"/>
  <c r="E5" i="4" s="1"/>
  <c r="F14" i="4"/>
  <c r="F15" i="4" s="1"/>
  <c r="F9" i="4"/>
  <c r="F10" i="4" s="1"/>
  <c r="F4" i="4"/>
  <c r="F5" i="4" s="1"/>
  <c r="E14" i="4"/>
  <c r="E15" i="4" s="1"/>
  <c r="E9" i="4"/>
  <c r="E10" i="4" s="1"/>
  <c r="G5" i="4"/>
  <c r="D5" i="4"/>
  <c r="C5" i="4"/>
  <c r="C15" i="4"/>
  <c r="G15" i="4"/>
  <c r="D15" i="4"/>
  <c r="G10" i="4"/>
  <c r="D10" i="4"/>
  <c r="C10" i="4"/>
  <c r="K30" i="4" l="1"/>
  <c r="K19" i="4"/>
  <c r="K41" i="4"/>
  <c r="J30" i="4"/>
  <c r="K32" i="4" l="1"/>
  <c r="K21" i="4"/>
  <c r="J47" i="4" l="1"/>
  <c r="O45" i="4" l="1"/>
  <c r="J48" i="4"/>
  <c r="O46" i="4" s="1"/>
  <c r="O44" i="4" l="1"/>
  <c r="K51" i="4" s="1"/>
  <c r="K47" i="4" s="1"/>
  <c r="K52" i="4" l="1"/>
</calcChain>
</file>

<file path=xl/sharedStrings.xml><?xml version="1.0" encoding="utf-8"?>
<sst xmlns="http://schemas.openxmlformats.org/spreadsheetml/2006/main" count="2700" uniqueCount="291">
  <si>
    <t>SEMANA</t>
  </si>
  <si>
    <t>NECESSIDADE</t>
  </si>
  <si>
    <t>CAPACIDADE ÚTIL</t>
  </si>
  <si>
    <t>CARGA</t>
  </si>
  <si>
    <t>CAPACIDADE LIVRE</t>
  </si>
  <si>
    <t>UNIDADE</t>
  </si>
  <si>
    <t>Total &gt;&gt;&gt;</t>
  </si>
  <si>
    <t>H</t>
  </si>
  <si>
    <t>AUSETU</t>
  </si>
  <si>
    <t>CALDTU</t>
  </si>
  <si>
    <t>MANDTU</t>
  </si>
  <si>
    <t>NDEL</t>
  </si>
  <si>
    <t>IMPR LIB  PLAN</t>
  </si>
  <si>
    <t>ZM01</t>
  </si>
  <si>
    <t>LIB  PLAN</t>
  </si>
  <si>
    <t>NDEL EVCO EXCO</t>
  </si>
  <si>
    <t>JBFI LIB  PLAN PWF</t>
  </si>
  <si>
    <t>NDEL CO03</t>
  </si>
  <si>
    <t>UTDI - Limpar grades/Filtros/Rolo BP/API</t>
  </si>
  <si>
    <t>NDEL CO01 EVCO</t>
  </si>
  <si>
    <t>NÃO SE APLICA</t>
  </si>
  <si>
    <t>U-620(UTDI):Acompanhame.transferên.DIA</t>
  </si>
  <si>
    <t>FT6205: subst. elem. filtrantes se neces</t>
  </si>
  <si>
    <t>NDEL CO03 EVCO</t>
  </si>
  <si>
    <t>X</t>
  </si>
  <si>
    <t>TRANSFERENCIA E ESTOCAGEM</t>
  </si>
  <si>
    <t>UTILIDADES</t>
  </si>
  <si>
    <t>Oper</t>
  </si>
  <si>
    <t>Ordem</t>
  </si>
  <si>
    <t>Confirm</t>
  </si>
  <si>
    <t>Subop</t>
  </si>
  <si>
    <t>CenTrabOp</t>
  </si>
  <si>
    <t>Txt. Breve operação</t>
  </si>
  <si>
    <t>executenta</t>
  </si>
  <si>
    <t>Trabalho</t>
  </si>
  <si>
    <t>TrbReal</t>
  </si>
  <si>
    <t>Duração</t>
  </si>
  <si>
    <t>TE</t>
  </si>
  <si>
    <t>UT</t>
  </si>
  <si>
    <t>TOTAL</t>
  </si>
  <si>
    <t>NDEL CO01</t>
  </si>
  <si>
    <t>NDEL EVCO</t>
  </si>
  <si>
    <t xml:space="preserve"> </t>
  </si>
  <si>
    <t>REPLAN/SMS/SO-2025-133</t>
  </si>
  <si>
    <t>51.2025</t>
  </si>
  <si>
    <t>S-6302A:Fechar BV superior após limpeza</t>
  </si>
  <si>
    <t>S-6302A:Realizar o desraquet secador</t>
  </si>
  <si>
    <t>$MAND TQ-4902: Montar andaime acesso</t>
  </si>
  <si>
    <t>TE - CO6 - Limpeza Area e Pq Bomba</t>
  </si>
  <si>
    <t>UTDI /TE:Apoio carreg/desc.produtos qu.</t>
  </si>
  <si>
    <t>S-6302A:Emitir relatório PRCO</t>
  </si>
  <si>
    <t>ETA:Apoio transf.prod.químico 3ªsemana</t>
  </si>
  <si>
    <t>CAFOR:Limp.de piso de área 2ª semana</t>
  </si>
  <si>
    <t>CAFOR:Limp.de piso GV's-2201/501 2ª sem.</t>
  </si>
  <si>
    <t>TG-6301ABC_Limpeza casulos 2° semana</t>
  </si>
  <si>
    <t>CAFOR:Limp.de piso de área  2ª semana</t>
  </si>
  <si>
    <t>TQ-4404: Adequar dreno fundo (Encurtar)</t>
  </si>
  <si>
    <t>TQ-4404: Instalar dreno de fundo</t>
  </si>
  <si>
    <t>BL-6201A:Subst.Cilindro de Cloro 4ª sem.</t>
  </si>
  <si>
    <t>ETA:Apoio transf.prod.químico3ªsemana</t>
  </si>
  <si>
    <t>SP-6202B Emitir relatório PRCO</t>
  </si>
  <si>
    <t>$MAND_S-6302A:D.A Plataforma BV infer</t>
  </si>
  <si>
    <t>$MAND_S-6302A:D.A Acesso Raquet/BV</t>
  </si>
  <si>
    <t>SP-6202B D.A. após conclusão de manuten</t>
  </si>
  <si>
    <t>TQ-4113:Repor terra após Concretagem</t>
  </si>
  <si>
    <t>14.01.2026</t>
  </si>
  <si>
    <t>15.01.2026</t>
  </si>
  <si>
    <t>TQ-4107: Tamponar furo solo/prep solo</t>
  </si>
  <si>
    <t>12.01.2026</t>
  </si>
  <si>
    <t>TQ-4107: Nivelar solo com terra</t>
  </si>
  <si>
    <t>$LIMP TQ-4107: Realizar limpeza geral</t>
  </si>
  <si>
    <t>V-4023A: Apoio desraqueteamento</t>
  </si>
  <si>
    <t>M-A-7410_Remover MA da lagoa</t>
  </si>
  <si>
    <t>TE- CO5- Limpeza Are Pq Bomba e piso MLD</t>
  </si>
  <si>
    <t>13.01.2026</t>
  </si>
  <si>
    <t>TE - CO7 - Limpeza Area e  Pq Bomba</t>
  </si>
  <si>
    <t>TE - Soda -organização e limpeza Pq Desc</t>
  </si>
  <si>
    <t>16.01.2026</t>
  </si>
  <si>
    <t>TE - CO2 - Limpeza Area e  Pq Bomba</t>
  </si>
  <si>
    <t>19.01.2026</t>
  </si>
  <si>
    <t>V-6207:Remover sistema de exaustão</t>
  </si>
  <si>
    <t>V-6303B:Ap.remover isol.térm.para raquet</t>
  </si>
  <si>
    <t>V-6303B:Monitorar entrada e saida de pes</t>
  </si>
  <si>
    <t>V-6303B:Ap.refazer isol.térm.após desraq</t>
  </si>
  <si>
    <t>V-6303B:Instalar sistema de exaustão</t>
  </si>
  <si>
    <t>V-6303B:Execuatar limpeza interna para i</t>
  </si>
  <si>
    <t>V-6303B: Realizar limpeza interna</t>
  </si>
  <si>
    <t>TQ-4812:Nivelar dique conforme padrão</t>
  </si>
  <si>
    <t>TQ-4812: Anexar (PRCO)</t>
  </si>
  <si>
    <t>$LIMP PE-4901: Limp. ext. válvula globo</t>
  </si>
  <si>
    <t>$LIMP PE-4901: Realizar limpeza do local</t>
  </si>
  <si>
    <t>TW-08-Inst contenção/ realiz limpeza</t>
  </si>
  <si>
    <t>P-B-61101A-Limpar Permutador</t>
  </si>
  <si>
    <t>TQ-4120: Recolher mangotes</t>
  </si>
  <si>
    <t>TQ-4120: Realizar limpeza dos mangotes</t>
  </si>
  <si>
    <t>TQ-4120:Transp mang/bomb/gerador</t>
  </si>
  <si>
    <t>P-6302B Observador espaço confinado</t>
  </si>
  <si>
    <t>P-6302B Montar Estrutura Espaço Confinad</t>
  </si>
  <si>
    <t>P-6302B Realizar Limpeza Interna Casco</t>
  </si>
  <si>
    <t>P-6302B Realizar Limpeza Intern Carretel</t>
  </si>
  <si>
    <t>P-6302B Desmon Estrutura Espaço Confinad</t>
  </si>
  <si>
    <t>P-6302B Desmontar Painel Elétrico</t>
  </si>
  <si>
    <t>V-6204E:Vigia esp.conf.Recompor internos</t>
  </si>
  <si>
    <t>V-6204E:Remover iluminação/exaustão</t>
  </si>
  <si>
    <t>V-6204E:Repor resina</t>
  </si>
  <si>
    <t>V-6204E:Remover ejetor</t>
  </si>
  <si>
    <t>RACE_RUA-15F:Esc Trech Sanar vaz</t>
  </si>
  <si>
    <t>REPLAN/SMS/SO-2025-141</t>
  </si>
  <si>
    <t>$LIMP BOMBEIO B-4083: Limpar Piso/ cap</t>
  </si>
  <si>
    <t>C-6312B-Lavar base na área</t>
  </si>
  <si>
    <t>$LIMP TQ-4808: Realizar limpeza bloqueio</t>
  </si>
  <si>
    <t>B-7425-Limpeza do mangote de sucção.</t>
  </si>
  <si>
    <t>B-7425-Afogar mangote</t>
  </si>
  <si>
    <t>E</t>
  </si>
  <si>
    <t>R-VE-6151H-Remover cabo de linha de vida</t>
  </si>
  <si>
    <t>R-VE-6151H Virar figura 8</t>
  </si>
  <si>
    <t>V-6341A:ANEXAR RELATÓRIO (PRCO)</t>
  </si>
  <si>
    <t>PN-4105_Recuperar telhado</t>
  </si>
  <si>
    <t>PN-4105_Tirar dimensional telhado</t>
  </si>
  <si>
    <t>PI-63556:Emitir relatório PRCO</t>
  </si>
  <si>
    <t>V-73101:PRCO Anexar relatório</t>
  </si>
  <si>
    <t>V-6207:Fechar BV do vaso após inspeção i</t>
  </si>
  <si>
    <t>V-6207:Remover raquetes das linhas do va</t>
  </si>
  <si>
    <t>V-6207:Emitir Relatório (PRCO)</t>
  </si>
  <si>
    <t>B-4014: Instar dreno/ sanar vazamento</t>
  </si>
  <si>
    <t>B-4014: Desraquetear sistemas</t>
  </si>
  <si>
    <t>TQ-6216:Insta.Bloqueio/carretel/suportes</t>
  </si>
  <si>
    <t>TQ-6216:Inst. vent na linha sucção fase2</t>
  </si>
  <si>
    <t>TQ-6216:PAC Emitir relatório PRCO</t>
  </si>
  <si>
    <t>XV-62304_Remover XV Antiga</t>
  </si>
  <si>
    <t>XV-62304_Instalar XV Nova</t>
  </si>
  <si>
    <t>B-40142C-Instalar mang para liberação</t>
  </si>
  <si>
    <t>B-6302D:Subst.bloq.do PI-63062D</t>
  </si>
  <si>
    <t>B-6302D:Adequar linha do PI-63062D</t>
  </si>
  <si>
    <t>B-6302D:PI-63062D Emitir relat.PRCO</t>
  </si>
  <si>
    <t>ETA:Apoio transf.prod.químico 4ªsemana</t>
  </si>
  <si>
    <t>ETA:Apoio transf.prod.químico4ªsemana</t>
  </si>
  <si>
    <t>XV-62245_Instalar novo suporte</t>
  </si>
  <si>
    <t>XV-62245_Remover suporte antigo</t>
  </si>
  <si>
    <t>TQ-4404: PRCO Anexar relatório</t>
  </si>
  <si>
    <t>PE-4901: Realizar reaperto no castelo</t>
  </si>
  <si>
    <t>PE-4901: PRCO Anexar relatório válv Glob</t>
  </si>
  <si>
    <t>TW-08-Raquetear linha</t>
  </si>
  <si>
    <t>TW-08-Desraquetear linha</t>
  </si>
  <si>
    <t>B-61101A Desconectar lhs sucção/descarga</t>
  </si>
  <si>
    <t>B-61101A Flangear a cego sucção/descarga</t>
  </si>
  <si>
    <t>PV-40154_PV-40154_Remov.cap/intal.mangue</t>
  </si>
  <si>
    <t>PV-40154_Remover PV/flangear a cego</t>
  </si>
  <si>
    <t>P-B-61101A-Remover Permutador</t>
  </si>
  <si>
    <t>P-B-61101A-Limpar Filtro</t>
  </si>
  <si>
    <t>P-B-61101A-Realizar Teste Hidrostático</t>
  </si>
  <si>
    <t>P-B-61101A-Instalar Permutador</t>
  </si>
  <si>
    <t>TQ-4120: Desonectar/ conectar mango</t>
  </si>
  <si>
    <t>TQ-4120: PRCO: Anexar relatório</t>
  </si>
  <si>
    <t>TQ-4702: Dimensionar Placa p/ Instalação</t>
  </si>
  <si>
    <t>TQ-4702: Cortar/furar/ soldar placa</t>
  </si>
  <si>
    <t>TQ-7408:Dimensionar placa p/ instalação</t>
  </si>
  <si>
    <t>TQ-7408: Cortar/furar/ soldar placa</t>
  </si>
  <si>
    <t>TQ-7408: Instalar placa acesso restrito</t>
  </si>
  <si>
    <t>TQ-7408: PRCO Anexar relatório</t>
  </si>
  <si>
    <t>P-6302B Rep Sede Ved Conf. Inspe Carrete</t>
  </si>
  <si>
    <t>P-6302B Adequar suporte no campo</t>
  </si>
  <si>
    <t>P-6302B Ap.usinagem/remover prisioneiro</t>
  </si>
  <si>
    <t>P-6302B Instalar prisioneiros</t>
  </si>
  <si>
    <t>P-6302B Prep.superf.p/inspeçaõ interna</t>
  </si>
  <si>
    <t>P-6302B Realizar reparo no tirante</t>
  </si>
  <si>
    <t>V-6204E:Recompor internos</t>
  </si>
  <si>
    <t>CNPA IMPR LIB  PLAN</t>
  </si>
  <si>
    <t>V-6204E:Fechar BV inferior</t>
  </si>
  <si>
    <t>V-6204E:Fechar BV superior</t>
  </si>
  <si>
    <t>V-6204E:Desraquet.entrada/saida do vaso</t>
  </si>
  <si>
    <t>V-6204E: Instalar crepinas</t>
  </si>
  <si>
    <t>V-6204E: Fec/tamp. filtro após sub.crepi</t>
  </si>
  <si>
    <t>BIRUTA-REPLAN-09: Cortar tubo (haste)</t>
  </si>
  <si>
    <t>BIRUTA-REPLAN-09: Fabricar suporte novo</t>
  </si>
  <si>
    <t>GV-6302 Sub.válv.bloq.ar dos queimad.1°P</t>
  </si>
  <si>
    <t>TQ-6212 Sub/inst.tampa nova próx.V-6204A</t>
  </si>
  <si>
    <t>TQ-6212 Emitir relatório PRCO</t>
  </si>
  <si>
    <t>RACE_VG-I-01 PLQ0007: Preparar  p/ M.E P</t>
  </si>
  <si>
    <t>RACE_VG-I-01 PLQ0007: Dimens capote PT02</t>
  </si>
  <si>
    <t>RACE_VG-I-01 PLQ0007: Instal capote PT02</t>
  </si>
  <si>
    <t>FT-6202: limpeza preventiva2ºsem</t>
  </si>
  <si>
    <t>TQ-4410: Dimensionar adequarção/ prolong</t>
  </si>
  <si>
    <t>FT-4001C: PRCO Anexar relatório</t>
  </si>
  <si>
    <t>BOMBEIO B-4083:Realiz limp/reaperto Cap</t>
  </si>
  <si>
    <t>BOMBEIO B-4083: PRCO Anexar relatório</t>
  </si>
  <si>
    <t>B-6353C: Abertu/Limpez/Fechamento Filtro</t>
  </si>
  <si>
    <t>B-6353C:Emitir relatório PRCO</t>
  </si>
  <si>
    <t>B-6353B: Abertu/Limpez/Fechamento Filtro</t>
  </si>
  <si>
    <t>B-6353B:Emitir relatório PRCO</t>
  </si>
  <si>
    <t>C-6312B-Remover PV válv. controle</t>
  </si>
  <si>
    <t>C-6312B-Remover viga metal. conf. anexo</t>
  </si>
  <si>
    <t>TQ-4306:Fabric placa c/ corrente Sinaliz</t>
  </si>
  <si>
    <t>TQ-4306:Inst placa sinalização escada TQ</t>
  </si>
  <si>
    <t>TQ-4306: PRCO Anexar relatório</t>
  </si>
  <si>
    <t>TQ-4808: Testar mangueira em oficina</t>
  </si>
  <si>
    <t>$MANG TQ-4808: Instalar mangueiras</t>
  </si>
  <si>
    <t>NDEL CA01</t>
  </si>
  <si>
    <t>$MANG TQ-4808: Remover mangueiras</t>
  </si>
  <si>
    <t>V-6201C Transportar comporta ofic.xcampo</t>
  </si>
  <si>
    <t>V-6201C Dimenc.cortar cantoneiras p/guia</t>
  </si>
  <si>
    <t>B-6214 Rem.linha de sucção flangear/cego</t>
  </si>
  <si>
    <t>B-6214 Remover válvula de retenç p repar</t>
  </si>
  <si>
    <t>B-6214 Transportar válvula de suc.p/ofic</t>
  </si>
  <si>
    <t>B-6214Tranp.válv. de retenç oficinaxárea</t>
  </si>
  <si>
    <t>B-6214 Reinst.válvula de retenção</t>
  </si>
  <si>
    <t>B-6214 Rem.flang/cego e inst.linha d suc</t>
  </si>
  <si>
    <t>B-6214 Emitir relatório PRCO</t>
  </si>
  <si>
    <t>B-7425-Remover mangote de sucção p/limpe</t>
  </si>
  <si>
    <t>B-7425-Intalar mangote de sucção após a</t>
  </si>
  <si>
    <t>B-7425- PRCO Anexar relatório</t>
  </si>
  <si>
    <t>B-7455:Remover mangote de sucção p/limpe</t>
  </si>
  <si>
    <t>B-7454:Remover mangote de sucção p/limpe</t>
  </si>
  <si>
    <t>CH-4601_Montar acesso ao teto da CH</t>
  </si>
  <si>
    <t>CH-4601_Desmontar barraca de cobertura</t>
  </si>
  <si>
    <t>CH-4601_Desmontar acesso ao teto da CH</t>
  </si>
  <si>
    <t>PCV-49013_Montar pau de carga</t>
  </si>
  <si>
    <t>$MAND TQ-4107: Montar andaime acesso</t>
  </si>
  <si>
    <t>TQ-4107: Montar barraca Confinamento</t>
  </si>
  <si>
    <t>R-VE-6151H-Montar plataforma de acesso</t>
  </si>
  <si>
    <t>CNPA LIB  PLAN</t>
  </si>
  <si>
    <t>R-VE-6151H M.A. e escoramemento da linha</t>
  </si>
  <si>
    <t>MCV-4671_D.A de acesso ao atuador</t>
  </si>
  <si>
    <t>MCV-4928_M.A plat/pau-de-carga(escada)</t>
  </si>
  <si>
    <t>VA-4910: Desmontar andaime acesso teto</t>
  </si>
  <si>
    <t>SE-610_M.andaime patio transformadores 3</t>
  </si>
  <si>
    <t>SE-610_D.andaime patio transformadores 3</t>
  </si>
  <si>
    <t>HCV-22740_Montar bancada/pau de carga</t>
  </si>
  <si>
    <t>M-A-7410_M.A.suporte para aerador</t>
  </si>
  <si>
    <t>PI-63556:Dand.após isolam.sul GV-6302</t>
  </si>
  <si>
    <t>V-73101: Desmontar barraca confinamento</t>
  </si>
  <si>
    <t>U-631_D. torres de andaime Ponto 07</t>
  </si>
  <si>
    <t>U-631_Montar torres de andaime Ponto 08</t>
  </si>
  <si>
    <t>U-631_D. torres de andaime Ponto 08</t>
  </si>
  <si>
    <t>U-631_Montar torres de andaime Ponto 09</t>
  </si>
  <si>
    <t>U-631_D. torres de andaime Ponto 09</t>
  </si>
  <si>
    <t>U-631_Montar torres de andaime Ponto 10</t>
  </si>
  <si>
    <t>U-631_D. torres de andaime Ponto 10</t>
  </si>
  <si>
    <t>U-631_Montar torres de andaime Ponto 11</t>
  </si>
  <si>
    <t>$MAND.V-6207:D.A. Para ME/Raquet/Abertu</t>
  </si>
  <si>
    <t>B-6121E_Montar plataforma e pau-de-carga</t>
  </si>
  <si>
    <t>B-6121E_Desmontar plataf. e pau-de-carga</t>
  </si>
  <si>
    <t>U-620_Montar T. andaime ponto 10</t>
  </si>
  <si>
    <t>TQ-6216:Desmontar andaimes linha de PAC</t>
  </si>
  <si>
    <t>VE-40035 M.A. p/ passagem de cabo</t>
  </si>
  <si>
    <t>B-40142B-M.A bancada acesso vaso acumula</t>
  </si>
  <si>
    <t>B-40142C-M.A. barraca/escora de linha</t>
  </si>
  <si>
    <t>B-5106A-D.A. após manutenção</t>
  </si>
  <si>
    <t>M-DA-7401A_D.A de acesso ao Decanta.</t>
  </si>
  <si>
    <t>TR-6121H- Montar andaime de acesso lest</t>
  </si>
  <si>
    <t>TR-6121H- D.A  andaime de acesso lest</t>
  </si>
  <si>
    <t>TR-6121H- Montar andaime de acesso oest</t>
  </si>
  <si>
    <t>TR-6121H- D.A  andaime de acesso oest</t>
  </si>
  <si>
    <t>LSH-22062_Desmontar andaime</t>
  </si>
  <si>
    <t>XV-23408_Desmontar bancada andaime</t>
  </si>
  <si>
    <t>$MAND PE-4901: M. andaime de acesso</t>
  </si>
  <si>
    <t>$MAND-FT-6201E:Ap.and p/manutenção placa</t>
  </si>
  <si>
    <t>$MAND_HV-40579_Montar acesso</t>
  </si>
  <si>
    <t>SF-22506C M.A. de acesso ao ramonador</t>
  </si>
  <si>
    <t>SF-22506C Descer materiais PS</t>
  </si>
  <si>
    <t>SF-22506C D.A. de acesso ao ramonador</t>
  </si>
  <si>
    <t>P-B-61101A-M.A. plataforma acesso</t>
  </si>
  <si>
    <t>P-B-61101A-D.A. após manutenção</t>
  </si>
  <si>
    <t>$MAND TQ-4120:Desmontar andaimes</t>
  </si>
  <si>
    <t>CNPA JBFI LIB  PLAN PWF</t>
  </si>
  <si>
    <t>$MAND TQ-4120: Dsmontar andaimes*</t>
  </si>
  <si>
    <t>$P-6302B M.A. Travar Painel Elétrico</t>
  </si>
  <si>
    <t>$P-6302B Apoio and.manut.permutador</t>
  </si>
  <si>
    <t>SP-2202C M.A. de acesso Mancal L.A.</t>
  </si>
  <si>
    <t>SP-2202C D.A. de acesso Mancal L.A.</t>
  </si>
  <si>
    <t>SP-2202D M.A. de acesso Mancal L.A.</t>
  </si>
  <si>
    <t>SP-2202D D.A. de acesso Mancal L.A.</t>
  </si>
  <si>
    <t>RACE_VG-I-01 PLQ0007:M.A escor/Confi PT0</t>
  </si>
  <si>
    <t>$MAND B-4072A_Montar pau de carga</t>
  </si>
  <si>
    <t>PI-62570_Desmontar bancada de andaime</t>
  </si>
  <si>
    <t>$TG-6301ABC_Montar/desm and limpeza 2°se</t>
  </si>
  <si>
    <t>NDEL MO01 EVCO</t>
  </si>
  <si>
    <t>$MAND TQ-4410: Mont acesso and Provisóri</t>
  </si>
  <si>
    <t>$MAND FT-4001C: Desmontar andaime</t>
  </si>
  <si>
    <t>$C-6312B-M.A tripé p/ iluminação</t>
  </si>
  <si>
    <t>C-6312B-M.A. plataforma+pau de carga</t>
  </si>
  <si>
    <t>C-6312B-M.A. escoras de linha</t>
  </si>
  <si>
    <t>$C-6312B-M.A. Acesso p/ remover sensores</t>
  </si>
  <si>
    <t>$MAND TQ-4808: Montar andaime acesso</t>
  </si>
  <si>
    <t>$MAND TQ-4808: Desmontar andaime acesso</t>
  </si>
  <si>
    <t>$B-6214 M.A p/ remover válv.de sucção</t>
  </si>
  <si>
    <t>$B-6214 D.A. após Inst.d valv.e linha su</t>
  </si>
  <si>
    <t>B-7425-Montar andaime de acesso</t>
  </si>
  <si>
    <t>B-7425-Desmontar andaime de acesso</t>
  </si>
  <si>
    <t>B-7455: Montar andaime de acesso</t>
  </si>
  <si>
    <t>B-7454: Montar andaime de acesso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</si>
</sst>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9" fontId="0" fillId="0" borderId="0" xfId="1" applyFont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2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9" fontId="0" fillId="0" borderId="3" xfId="1" applyFont="1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9" fontId="0" fillId="0" borderId="8" xfId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9" fontId="0" fillId="0" borderId="14" xfId="1" applyFont="1" applyBorder="1" applyAlignment="1">
      <alignment horizontal="center"/>
    </xf>
    <xf numFmtId="0" fontId="0" fillId="0" borderId="15" xfId="0" applyBorder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1" applyFont="1" applyBorder="1" applyAlignment="1">
      <alignment horizontal="center"/>
    </xf>
    <xf numFmtId="21" fontId="0" fillId="0" borderId="0" xfId="0" applyNumberFormat="1"/>
    <xf numFmtId="46" fontId="0" fillId="0" borderId="0" xfId="0" applyNumberFormat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0" fillId="0" borderId="7" xfId="0" applyBorder="1"/>
    <xf numFmtId="9" fontId="0" fillId="0" borderId="9" xfId="1" applyFont="1" applyBorder="1"/>
    <xf numFmtId="0" fontId="0" fillId="0" borderId="5" xfId="0" applyBorder="1"/>
    <xf numFmtId="9" fontId="0" fillId="0" borderId="6" xfId="1" applyFont="1" applyBorder="1"/>
    <xf numFmtId="0" fontId="0" fillId="0" borderId="2" xfId="0" applyBorder="1"/>
    <xf numFmtId="0" fontId="0" fillId="0" borderId="3" xfId="0" applyBorder="1"/>
    <xf numFmtId="9" fontId="0" fillId="0" borderId="4" xfId="1" applyFont="1" applyBorder="1"/>
    <xf numFmtId="9" fontId="0" fillId="0" borderId="0" xfId="0" applyNumberFormat="1"/>
    <xf numFmtId="2" fontId="0" fillId="0" borderId="0" xfId="0" applyNumberFormat="1"/>
    <xf numFmtId="10" fontId="0" fillId="0" borderId="0" xfId="1" applyNumberFormat="1" applyFon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0" fillId="0" borderId="8" xfId="0" applyNumberFormat="1" applyBorder="1"/>
    <xf numFmtId="9" fontId="0" fillId="0" borderId="6" xfId="1" applyNumberFormat="1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AUSETU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0C-4DDF-9FD4-EC5E6AF05C72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F0C-4DDF-9FD4-EC5E6AF05C72}"/>
              </c:ext>
            </c:extLst>
          </c:dPt>
          <c:dLbls>
            <c:dLbl>
              <c:idx val="0"/>
              <c:layout>
                <c:manualLayout>
                  <c:x val="-1.6666666666666666E-2"/>
                  <c:y val="0.12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TRANSF. ESTOC</a:t>
                    </a:r>
                  </a:p>
                  <a:p>
                    <a:pPr>
                      <a:defRPr/>
                    </a:pPr>
                    <a:fld id="{331AE388-2D3E-4304-A07B-15595F3D4394}" type="VALUE">
                      <a:rPr lang="en-US" sz="1200" baseline="0"/>
                      <a:pPr>
                        <a:defRPr/>
                      </a:pPr>
                      <a:t>[VALOR]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44444444444444"/>
                      <c:h val="0.2472918489355497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F0C-4DDF-9FD4-EC5E6AF05C72}"/>
                </c:ext>
              </c:extLst>
            </c:dLbl>
            <c:dLbl>
              <c:idx val="1"/>
              <c:layout>
                <c:manualLayout>
                  <c:x val="-4.8758530183727035E-2"/>
                  <c:y val="-0.1924733887430737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ln w="6350"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>
                        <a:ln w="6350">
                          <a:noFill/>
                        </a:ln>
                        <a:solidFill>
                          <a:schemeClr val="tx1"/>
                        </a:solidFill>
                      </a:rPr>
                      <a:t>UTILIDADES</a:t>
                    </a:r>
                  </a:p>
                  <a:p>
                    <a:pPr>
                      <a:defRPr>
                        <a:ln w="6350">
                          <a:noFill/>
                        </a:ln>
                        <a:solidFill>
                          <a:schemeClr val="tx1"/>
                        </a:solidFill>
                      </a:defRPr>
                    </a:pPr>
                    <a:fld id="{0A892B13-8099-4798-B694-56363910416C}" type="VALUE">
                      <a:rPr lang="en-US" sz="1200" baseline="0">
                        <a:ln w="6350">
                          <a:noFill/>
                        </a:ln>
                        <a:solidFill>
                          <a:schemeClr val="tx1"/>
                        </a:solidFill>
                      </a:rPr>
                      <a:pPr>
                        <a:defRPr>
                          <a:ln w="6350">
                            <a:noFill/>
                          </a:ln>
                          <a:solidFill>
                            <a:schemeClr val="tx1"/>
                          </a:solidFill>
                        </a:defRPr>
                      </a:pPr>
                      <a:t>[VALOR]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ln w="6350"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F0C-4DDF-9FD4-EC5E6AF05C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NIVELADAS!$K$20:$K$21</c:f>
              <c:numCache>
                <c:formatCode>0%</c:formatCode>
                <c:ptCount val="2"/>
                <c:pt idx="0">
                  <c:v>0.55392215808882472</c:v>
                </c:pt>
                <c:pt idx="1">
                  <c:v>0.39494147827481157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C-4DDF-9FD4-EC5E6AF05C7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CALDTU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B7-451B-B2AE-959367E12B85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9B7-451B-B2AE-959367E12B85}"/>
              </c:ext>
            </c:extLst>
          </c:dPt>
          <c:dLbls>
            <c:dLbl>
              <c:idx val="0"/>
              <c:layout>
                <c:manualLayout>
                  <c:x val="-1.2904883728055485E-2"/>
                  <c:y val="0.1442688514629925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TRANSF. ESTOC</a:t>
                    </a:r>
                  </a:p>
                  <a:p>
                    <a:pPr>
                      <a:defRPr/>
                    </a:pPr>
                    <a:fld id="{BB5E757A-3CC5-4511-85A9-634DEA21503D}" type="VALUE">
                      <a:rPr lang="en-US" sz="1200" baseline="0"/>
                      <a:pPr>
                        <a:defRPr/>
                      </a:pPr>
                      <a:t>[VALOR]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798288346252439"/>
                      <c:h val="0.2994906046466034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9B7-451B-B2AE-959367E12B85}"/>
                </c:ext>
              </c:extLst>
            </c:dLbl>
            <c:dLbl>
              <c:idx val="1"/>
              <c:layout>
                <c:manualLayout>
                  <c:x val="-3.0034339457567803E-2"/>
                  <c:y val="-0.1172309711286090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UTILIDADES</a:t>
                    </a:r>
                  </a:p>
                  <a:p>
                    <a:fld id="{D4C97AB3-ABBC-457B-A001-5D396A312670}" type="VALUE">
                      <a:rPr lang="en-US" sz="1200"/>
                      <a:pPr/>
                      <a:t>[VALOR]</a:t>
                    </a:fld>
                    <a:endParaRPr lang="pt-BR"/>
                  </a:p>
                </c:rich>
              </c:tx>
              <c:dLblPos val="bestFit"/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9B7-451B-B2AE-959367E12B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NIVELADAS!$K$31:$K$32</c:f>
              <c:numCache>
                <c:formatCode>0%</c:formatCode>
                <c:ptCount val="2"/>
                <c:pt idx="0">
                  <c:v>0.26084691417309447</c:v>
                </c:pt>
                <c:pt idx="1">
                  <c:v>0.85354702522084491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7-451B-B2AE-959367E12B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MANDTU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65-4575-9950-9E071C353CD3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465-4575-9950-9E071C353CD3}"/>
              </c:ext>
            </c:extLst>
          </c:dPt>
          <c:dLbls>
            <c:dLbl>
              <c:idx val="0"/>
              <c:layout>
                <c:manualLayout>
                  <c:x val="-2.4308836395450567E-3"/>
                  <c:y val="5.5936511216625802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TRANSF. ESTOC.</a:t>
                    </a:r>
                  </a:p>
                  <a:p>
                    <a:fld id="{1A65FD0C-2977-4BF3-938E-C1F11CED36C9}" type="VALUE">
                      <a:rPr lang="en-US" sz="1200"/>
                      <a:pPr/>
                      <a:t>[VALOR]</a:t>
                    </a:fld>
                    <a:endParaRPr lang="pt-BR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868044619422573"/>
                      <c:h val="0.2169306817946164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465-4575-9950-9E071C353CD3}"/>
                </c:ext>
              </c:extLst>
            </c:dLbl>
            <c:dLbl>
              <c:idx val="1"/>
              <c:layout>
                <c:manualLayout>
                  <c:x val="-7.8852362204724386E-2"/>
                  <c:y val="-0.15260571595217265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UTILIDADES</a:t>
                    </a:r>
                  </a:p>
                  <a:p>
                    <a:fld id="{E9B9BE1E-5C87-4E2F-93CC-DDA6A6200A77}" type="VALUE">
                      <a:rPr lang="en-US" sz="1200"/>
                      <a:pPr/>
                      <a:t>[VALOR]</a:t>
                    </a:fld>
                    <a:endParaRPr lang="pt-BR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465-4575-9950-9E071C353C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NIVELADAS!$K$42:$K$43</c:f>
              <c:numCache>
                <c:formatCode>0%</c:formatCode>
                <c:ptCount val="2"/>
                <c:pt idx="0">
                  <c:v>0.35754296698326549</c:v>
                </c:pt>
                <c:pt idx="1">
                  <c:v>0.84624491180461336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5-4575-9950-9E071C353CD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33336</xdr:colOff>
      <xdr:row>18</xdr:row>
      <xdr:rowOff>23812</xdr:rowOff>
    </xdr:from>
    <xdr:to>
      <xdr:col>6</xdr:col>
      <xdr:colOff>600074</xdr:colOff>
      <xdr:row>27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31B5C54-BD7E-5A63-24E1-F018DA9BE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29</xdr:row>
      <xdr:rowOff>61913</xdr:rowOff>
    </xdr:from>
    <xdr:to>
      <xdr:col>6</xdr:col>
      <xdr:colOff>609600</xdr:colOff>
      <xdr:row>38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0BEA187-9334-6B7E-3CBA-7C2B6C59A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35378</xdr:colOff>
      <xdr:row>40</xdr:row>
      <xdr:rowOff>22451</xdr:rowOff>
    </xdr:from>
    <xdr:to>
      <xdr:col>6</xdr:col>
      <xdr:colOff>619125</xdr:colOff>
      <xdr:row>49</xdr:row>
      <xdr:rowOff>190500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780183B-9ACE-2865-C021-B5F63471E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EB0F-201B-4C1F-AD80-660312F18908}">
  <sheetPr codeName="Planilha1">
    <tabColor rgb="FFFF0000"/>
  </sheetPr>
  <dimension ref="B1:AD52"/>
  <sheetViews>
    <sheetView tabSelected="1" zoomScale="85" zoomScaleNormal="85" workbookViewId="0">
      <selection activeCell="N24" sqref="N24"/>
    </sheetView>
  </sheetViews>
  <sheetFormatPr defaultColWidth="9.140625" defaultRowHeight="15" x14ac:dyDescent="0.25"/>
  <cols>
    <col min="2" max="2" width="8.7109375" bestFit="1" customWidth="1"/>
    <col min="3" max="3" width="14.42578125" bestFit="1" customWidth="1"/>
    <col min="4" max="4" width="15.28515625" bestFit="1" customWidth="1"/>
    <col min="5" max="5" width="7.42578125" bestFit="1" customWidth="1"/>
    <col min="6" max="6" width="18.85546875" bestFit="1" customWidth="1"/>
    <col min="7" max="7" width="9.85546875" customWidth="1"/>
    <col min="8" max="8" width="9.85546875" style="1" customWidth="1"/>
    <col min="10" max="10" width="10.28515625" bestFit="1" customWidth="1"/>
    <col min="11" max="11" width="14.42578125" style="1" bestFit="1" customWidth="1"/>
    <col min="12" max="12" width="11.85546875" bestFit="1" customWidth="1"/>
    <col min="23" max="23" width="11.28515625" bestFit="1" customWidth="1"/>
  </cols>
  <sheetData>
    <row r="1" spans="2:30" ht="15.75" thickBot="1" x14ac:dyDescent="0.3"/>
    <row r="2" spans="2:30" ht="21.75" thickBot="1" x14ac:dyDescent="0.4">
      <c r="B2" s="62" t="s">
        <v>8</v>
      </c>
      <c r="C2" s="63"/>
      <c r="D2" s="63"/>
      <c r="E2" s="63"/>
      <c r="F2" s="63"/>
      <c r="G2" s="64"/>
    </row>
    <row r="3" spans="2:30" ht="15.75" thickBot="1" x14ac:dyDescent="0.3">
      <c r="B3" s="24" t="s">
        <v>0</v>
      </c>
      <c r="C3" s="25" t="s">
        <v>1</v>
      </c>
      <c r="D3" s="25" t="s">
        <v>2</v>
      </c>
      <c r="E3" s="25" t="s">
        <v>3</v>
      </c>
      <c r="F3" s="25" t="s">
        <v>4</v>
      </c>
      <c r="G3" s="26" t="s">
        <v>5</v>
      </c>
    </row>
    <row r="4" spans="2:30" x14ac:dyDescent="0.25">
      <c r="B4" s="8" t="s">
        <v>44</v>
      </c>
      <c r="C4" s="9">
        <v>668</v>
      </c>
      <c r="D4" s="9">
        <v>704</v>
      </c>
      <c r="E4" s="10">
        <f>C4/D4</f>
        <v>0.94886363636363635</v>
      </c>
      <c r="F4" s="9">
        <f>D4-C4</f>
        <v>36</v>
      </c>
      <c r="G4" s="11" t="s">
        <v>7</v>
      </c>
    </row>
    <row r="5" spans="2:30" s="2" customFormat="1" ht="15.75" thickBot="1" x14ac:dyDescent="0.3">
      <c r="B5" s="12" t="s">
        <v>6</v>
      </c>
      <c r="C5" s="13">
        <f>C4</f>
        <v>668</v>
      </c>
      <c r="D5" s="13">
        <f>D4</f>
        <v>704</v>
      </c>
      <c r="E5" s="14">
        <f>E4</f>
        <v>0.94886363636363635</v>
      </c>
      <c r="F5" s="13">
        <f>F4</f>
        <v>36</v>
      </c>
      <c r="G5" s="15" t="str">
        <f>G4</f>
        <v>H</v>
      </c>
      <c r="H5" s="1"/>
      <c r="K5" s="3"/>
    </row>
    <row r="6" spans="2:30" s="2" customFormat="1" ht="15.75" thickBot="1" x14ac:dyDescent="0.3">
      <c r="B6" s="20"/>
      <c r="C6" s="16"/>
      <c r="D6" s="16"/>
      <c r="E6" s="17"/>
      <c r="F6" s="16"/>
      <c r="G6" s="21"/>
      <c r="H6" s="1"/>
      <c r="K6" s="3"/>
    </row>
    <row r="7" spans="2:30" ht="21.75" thickBot="1" x14ac:dyDescent="0.4">
      <c r="B7" s="62" t="s">
        <v>9</v>
      </c>
      <c r="C7" s="63"/>
      <c r="D7" s="63"/>
      <c r="E7" s="63"/>
      <c r="F7" s="63"/>
      <c r="G7" s="64"/>
    </row>
    <row r="8" spans="2:30" ht="15.75" thickBot="1" x14ac:dyDescent="0.3">
      <c r="B8" s="24" t="s">
        <v>0</v>
      </c>
      <c r="C8" s="25" t="s">
        <v>1</v>
      </c>
      <c r="D8" s="25" t="s">
        <v>2</v>
      </c>
      <c r="E8" s="25" t="s">
        <v>3</v>
      </c>
      <c r="F8" s="25" t="s">
        <v>4</v>
      </c>
      <c r="G8" s="26" t="s">
        <v>5</v>
      </c>
    </row>
    <row r="9" spans="2:30" x14ac:dyDescent="0.25">
      <c r="B9" s="8" t="s">
        <v>44</v>
      </c>
      <c r="C9" s="9">
        <v>588.4</v>
      </c>
      <c r="D9" s="9">
        <v>528</v>
      </c>
      <c r="E9" s="10">
        <f>C9/D9</f>
        <v>1.1143939393939393</v>
      </c>
      <c r="F9" s="9">
        <f>D9-C9</f>
        <v>-60.399999999999977</v>
      </c>
      <c r="G9" s="11" t="s">
        <v>7</v>
      </c>
    </row>
    <row r="10" spans="2:30" ht="15.75" thickBot="1" x14ac:dyDescent="0.3">
      <c r="B10" s="4" t="s">
        <v>6</v>
      </c>
      <c r="C10" s="5">
        <f>C9</f>
        <v>588.4</v>
      </c>
      <c r="D10" s="5">
        <f>D9</f>
        <v>528</v>
      </c>
      <c r="E10" s="6">
        <f>E9</f>
        <v>1.1143939393939393</v>
      </c>
      <c r="F10" s="5">
        <f>F9</f>
        <v>-60.399999999999977</v>
      </c>
      <c r="G10" s="7" t="str">
        <f>G9</f>
        <v>H</v>
      </c>
    </row>
    <row r="11" spans="2:30" ht="15.75" thickBot="1" x14ac:dyDescent="0.3">
      <c r="B11" s="22"/>
      <c r="G11" s="23"/>
    </row>
    <row r="12" spans="2:30" ht="21.75" thickBot="1" x14ac:dyDescent="0.4">
      <c r="B12" s="62" t="s">
        <v>10</v>
      </c>
      <c r="C12" s="63"/>
      <c r="D12" s="63"/>
      <c r="E12" s="63"/>
      <c r="F12" s="63"/>
      <c r="G12" s="64"/>
      <c r="AD12" t="s">
        <v>42</v>
      </c>
    </row>
    <row r="13" spans="2:30" ht="15.75" thickBot="1" x14ac:dyDescent="0.3">
      <c r="B13" s="24" t="s">
        <v>0</v>
      </c>
      <c r="C13" s="25" t="s">
        <v>1</v>
      </c>
      <c r="D13" s="25" t="s">
        <v>2</v>
      </c>
      <c r="E13" s="25" t="s">
        <v>3</v>
      </c>
      <c r="F13" s="25" t="s">
        <v>4</v>
      </c>
      <c r="G13" s="26" t="s">
        <v>5</v>
      </c>
    </row>
    <row r="14" spans="2:30" x14ac:dyDescent="0.25">
      <c r="B14" s="8" t="s">
        <v>44</v>
      </c>
      <c r="C14" s="9">
        <v>1271.2</v>
      </c>
      <c r="D14" s="9">
        <v>1056</v>
      </c>
      <c r="E14" s="10">
        <f>C14/D14</f>
        <v>1.2037878787878789</v>
      </c>
      <c r="F14" s="9">
        <f>D14-C14</f>
        <v>-215.20000000000005</v>
      </c>
      <c r="G14" s="11" t="s">
        <v>7</v>
      </c>
    </row>
    <row r="15" spans="2:30" ht="15.75" thickBot="1" x14ac:dyDescent="0.3">
      <c r="B15" s="4" t="s">
        <v>6</v>
      </c>
      <c r="C15" s="5">
        <f>C14</f>
        <v>1271.2</v>
      </c>
      <c r="D15" s="5">
        <f>D14</f>
        <v>1056</v>
      </c>
      <c r="E15" s="6">
        <f>E14</f>
        <v>1.2037878787878789</v>
      </c>
      <c r="F15" s="5">
        <f>F14</f>
        <v>-215.20000000000005</v>
      </c>
      <c r="G15" s="7" t="str">
        <f>G14</f>
        <v>H</v>
      </c>
    </row>
    <row r="16" spans="2:30" ht="15.75" thickBot="1" x14ac:dyDescent="0.3"/>
    <row r="17" spans="2:11" ht="15.75" thickBot="1" x14ac:dyDescent="0.3">
      <c r="B17" s="65" t="s">
        <v>25</v>
      </c>
      <c r="C17" s="66"/>
      <c r="D17" s="67"/>
      <c r="E17" s="68" t="s">
        <v>26</v>
      </c>
      <c r="F17" s="69"/>
      <c r="G17" s="70"/>
    </row>
    <row r="18" spans="2:11" ht="15.75" thickBot="1" x14ac:dyDescent="0.3">
      <c r="B18" s="53" t="s">
        <v>8</v>
      </c>
      <c r="C18" s="54"/>
      <c r="D18" s="54"/>
      <c r="E18" s="54"/>
      <c r="F18" s="54"/>
      <c r="G18" s="55"/>
      <c r="I18" s="56" t="s">
        <v>8</v>
      </c>
      <c r="J18" s="57"/>
      <c r="K18" s="58"/>
    </row>
    <row r="19" spans="2:11" x14ac:dyDescent="0.25">
      <c r="B19" s="44"/>
      <c r="C19" s="45"/>
      <c r="D19" s="45"/>
      <c r="E19" s="45"/>
      <c r="F19" s="45"/>
      <c r="G19" s="46"/>
      <c r="I19" s="34" t="s">
        <v>39</v>
      </c>
      <c r="J19" s="33">
        <f>SUM(J20:J21)</f>
        <v>680.4</v>
      </c>
      <c r="K19" s="35">
        <f>E4</f>
        <v>0.94886363636363635</v>
      </c>
    </row>
    <row r="20" spans="2:11" x14ac:dyDescent="0.25">
      <c r="B20" s="47"/>
      <c r="C20" s="48"/>
      <c r="D20" s="48"/>
      <c r="E20" s="48"/>
      <c r="F20" s="48"/>
      <c r="G20" s="49"/>
      <c r="I20" s="36" t="s">
        <v>37</v>
      </c>
      <c r="J20" s="32">
        <f>'AUSETU T.E'!H1</f>
        <v>397.2</v>
      </c>
      <c r="K20" s="37">
        <f>J20*K19/J19</f>
        <v>0.55392215808882472</v>
      </c>
    </row>
    <row r="21" spans="2:11" ht="15.75" thickBot="1" x14ac:dyDescent="0.3">
      <c r="B21" s="47"/>
      <c r="C21" s="48"/>
      <c r="D21" s="48"/>
      <c r="E21" s="48"/>
      <c r="F21" s="48"/>
      <c r="G21" s="49"/>
      <c r="I21" s="38" t="s">
        <v>38</v>
      </c>
      <c r="J21" s="39">
        <f>'AUSETU UT'!H1</f>
        <v>283.2</v>
      </c>
      <c r="K21" s="40">
        <f>J21*K19/J19</f>
        <v>0.39494147827481157</v>
      </c>
    </row>
    <row r="22" spans="2:11" x14ac:dyDescent="0.25">
      <c r="B22" s="47"/>
      <c r="C22" s="48"/>
      <c r="D22" s="48"/>
      <c r="E22" s="48"/>
      <c r="F22" s="48"/>
      <c r="G22" s="49"/>
    </row>
    <row r="23" spans="2:11" x14ac:dyDescent="0.25">
      <c r="B23" s="47"/>
      <c r="C23" s="48"/>
      <c r="D23" s="48"/>
      <c r="E23" s="48"/>
      <c r="F23" s="48"/>
      <c r="G23" s="49"/>
    </row>
    <row r="24" spans="2:11" x14ac:dyDescent="0.25">
      <c r="B24" s="47"/>
      <c r="C24" s="48"/>
      <c r="D24" s="48"/>
      <c r="E24" s="48"/>
      <c r="F24" s="48"/>
      <c r="G24" s="49"/>
    </row>
    <row r="25" spans="2:11" x14ac:dyDescent="0.25">
      <c r="B25" s="47"/>
      <c r="C25" s="48"/>
      <c r="D25" s="48"/>
      <c r="E25" s="48"/>
      <c r="F25" s="48"/>
      <c r="G25" s="49"/>
    </row>
    <row r="26" spans="2:11" x14ac:dyDescent="0.25">
      <c r="B26" s="47"/>
      <c r="C26" s="48"/>
      <c r="D26" s="48"/>
      <c r="E26" s="48"/>
      <c r="F26" s="48"/>
      <c r="G26" s="49"/>
    </row>
    <row r="27" spans="2:11" x14ac:dyDescent="0.25">
      <c r="B27" s="47"/>
      <c r="C27" s="48"/>
      <c r="D27" s="48"/>
      <c r="E27" s="48"/>
      <c r="F27" s="48"/>
      <c r="G27" s="49"/>
    </row>
    <row r="28" spans="2:11" ht="15.75" thickBot="1" x14ac:dyDescent="0.3">
      <c r="B28" s="59"/>
      <c r="C28" s="60"/>
      <c r="D28" s="60"/>
      <c r="E28" s="60"/>
      <c r="F28" s="60"/>
      <c r="G28" s="61"/>
    </row>
    <row r="29" spans="2:11" ht="15.75" thickBot="1" x14ac:dyDescent="0.3">
      <c r="B29" s="53" t="s">
        <v>9</v>
      </c>
      <c r="C29" s="54"/>
      <c r="D29" s="54"/>
      <c r="E29" s="54"/>
      <c r="F29" s="54"/>
      <c r="G29" s="55"/>
      <c r="I29" s="56" t="s">
        <v>9</v>
      </c>
      <c r="J29" s="57"/>
      <c r="K29" s="58"/>
    </row>
    <row r="30" spans="2:11" x14ac:dyDescent="0.25">
      <c r="B30" s="44"/>
      <c r="C30" s="45"/>
      <c r="D30" s="45"/>
      <c r="E30" s="45"/>
      <c r="F30" s="45"/>
      <c r="G30" s="46"/>
      <c r="I30" s="34" t="s">
        <v>39</v>
      </c>
      <c r="J30" s="33">
        <f>SUM(J31:J32)</f>
        <v>605.79999999999995</v>
      </c>
      <c r="K30" s="35">
        <f>E9</f>
        <v>1.1143939393939393</v>
      </c>
    </row>
    <row r="31" spans="2:11" x14ac:dyDescent="0.25">
      <c r="B31" s="47"/>
      <c r="C31" s="48"/>
      <c r="D31" s="48"/>
      <c r="E31" s="48"/>
      <c r="F31" s="48"/>
      <c r="G31" s="49"/>
      <c r="I31" s="36" t="s">
        <v>37</v>
      </c>
      <c r="J31" s="32">
        <f>'CALDTU T.E'!H1</f>
        <v>141.80000000000001</v>
      </c>
      <c r="K31" s="37">
        <f>J31*K30/J30</f>
        <v>0.26084691417309447</v>
      </c>
    </row>
    <row r="32" spans="2:11" ht="15.75" thickBot="1" x14ac:dyDescent="0.3">
      <c r="B32" s="47"/>
      <c r="C32" s="48"/>
      <c r="D32" s="48"/>
      <c r="E32" s="48"/>
      <c r="F32" s="48"/>
      <c r="G32" s="49"/>
      <c r="I32" s="38" t="s">
        <v>38</v>
      </c>
      <c r="J32" s="39">
        <f>'CALDTU UT'!H1</f>
        <v>463.99999999999994</v>
      </c>
      <c r="K32" s="40">
        <f>J32*K30/J30</f>
        <v>0.85354702522084491</v>
      </c>
    </row>
    <row r="33" spans="2:15" x14ac:dyDescent="0.25">
      <c r="B33" s="47"/>
      <c r="C33" s="48"/>
      <c r="D33" s="48"/>
      <c r="E33" s="48"/>
      <c r="F33" s="48"/>
      <c r="G33" s="49"/>
    </row>
    <row r="34" spans="2:15" x14ac:dyDescent="0.25">
      <c r="B34" s="47"/>
      <c r="C34" s="48"/>
      <c r="D34" s="48"/>
      <c r="E34" s="48"/>
      <c r="F34" s="48"/>
      <c r="G34" s="49"/>
    </row>
    <row r="35" spans="2:15" x14ac:dyDescent="0.25">
      <c r="B35" s="47"/>
      <c r="C35" s="48"/>
      <c r="D35" s="48"/>
      <c r="E35" s="48"/>
      <c r="F35" s="48"/>
      <c r="G35" s="49"/>
    </row>
    <row r="36" spans="2:15" x14ac:dyDescent="0.25">
      <c r="B36" s="47"/>
      <c r="C36" s="48"/>
      <c r="D36" s="48"/>
      <c r="E36" s="48"/>
      <c r="F36" s="48"/>
      <c r="G36" s="49"/>
    </row>
    <row r="37" spans="2:15" x14ac:dyDescent="0.25">
      <c r="B37" s="47"/>
      <c r="C37" s="48"/>
      <c r="D37" s="48"/>
      <c r="E37" s="48"/>
      <c r="F37" s="48"/>
      <c r="G37" s="49"/>
    </row>
    <row r="38" spans="2:15" x14ac:dyDescent="0.25">
      <c r="B38" s="47"/>
      <c r="C38" s="48"/>
      <c r="D38" s="48"/>
      <c r="E38" s="48"/>
      <c r="F38" s="48"/>
      <c r="G38" s="49"/>
    </row>
    <row r="39" spans="2:15" ht="15.75" thickBot="1" x14ac:dyDescent="0.3">
      <c r="B39" s="59"/>
      <c r="C39" s="60"/>
      <c r="D39" s="60"/>
      <c r="E39" s="60"/>
      <c r="F39" s="60"/>
      <c r="G39" s="61"/>
    </row>
    <row r="40" spans="2:15" ht="15.75" thickBot="1" x14ac:dyDescent="0.3">
      <c r="B40" s="53" t="s">
        <v>10</v>
      </c>
      <c r="C40" s="54"/>
      <c r="D40" s="54"/>
      <c r="E40" s="54"/>
      <c r="F40" s="54"/>
      <c r="G40" s="55"/>
      <c r="I40" s="56" t="s">
        <v>10</v>
      </c>
      <c r="J40" s="57"/>
      <c r="K40" s="58"/>
    </row>
    <row r="41" spans="2:15" x14ac:dyDescent="0.25">
      <c r="B41" s="44"/>
      <c r="C41" s="45"/>
      <c r="D41" s="45"/>
      <c r="E41" s="45"/>
      <c r="F41" s="45"/>
      <c r="G41" s="46"/>
      <c r="I41" s="34" t="s">
        <v>39</v>
      </c>
      <c r="J41" s="71">
        <f>SUM(J42:J43)</f>
        <v>1340</v>
      </c>
      <c r="K41" s="35">
        <f>E14</f>
        <v>1.2037878787878789</v>
      </c>
    </row>
    <row r="42" spans="2:15" x14ac:dyDescent="0.25">
      <c r="B42" s="47"/>
      <c r="C42" s="48"/>
      <c r="D42" s="48"/>
      <c r="E42" s="48"/>
      <c r="F42" s="48"/>
      <c r="G42" s="49"/>
      <c r="I42" s="36" t="s">
        <v>37</v>
      </c>
      <c r="J42" s="32">
        <f>'MANDTU T.E'!H1</f>
        <v>398</v>
      </c>
      <c r="K42" s="72">
        <f>K41*J42/J41</f>
        <v>0.35754296698326549</v>
      </c>
    </row>
    <row r="43" spans="2:15" ht="15.75" thickBot="1" x14ac:dyDescent="0.3">
      <c r="B43" s="47"/>
      <c r="C43" s="48"/>
      <c r="D43" s="48"/>
      <c r="E43" s="48"/>
      <c r="F43" s="48"/>
      <c r="G43" s="49"/>
      <c r="I43" s="38" t="s">
        <v>38</v>
      </c>
      <c r="J43" s="39">
        <f>'MANDTU UT'!H1</f>
        <v>942</v>
      </c>
      <c r="K43" s="40">
        <f>K41*J43/J41</f>
        <v>0.84624491180461336</v>
      </c>
    </row>
    <row r="44" spans="2:15" x14ac:dyDescent="0.25">
      <c r="B44" s="47"/>
      <c r="C44" s="48"/>
      <c r="D44" s="48"/>
      <c r="E44" s="48"/>
      <c r="F44" s="48"/>
      <c r="G44" s="49"/>
      <c r="N44">
        <v>100</v>
      </c>
      <c r="O44" s="41">
        <f>SUM(J47+J48)</f>
        <v>1.2206623109400887</v>
      </c>
    </row>
    <row r="45" spans="2:15" ht="15.75" thickBot="1" x14ac:dyDescent="0.3">
      <c r="B45" s="47"/>
      <c r="C45" s="48"/>
      <c r="D45" s="48"/>
      <c r="E45" s="48"/>
      <c r="F45" s="48"/>
      <c r="G45" s="49"/>
      <c r="O45" s="42">
        <f>J47*N44</f>
        <v>52.241783917333208</v>
      </c>
    </row>
    <row r="46" spans="2:15" ht="15.75" thickBot="1" x14ac:dyDescent="0.3">
      <c r="B46" s="47"/>
      <c r="C46" s="48"/>
      <c r="D46" s="48"/>
      <c r="E46" s="48"/>
      <c r="F46" s="48"/>
      <c r="G46" s="49"/>
      <c r="I46" s="56" t="s">
        <v>39</v>
      </c>
      <c r="J46" s="57"/>
      <c r="K46" s="58"/>
      <c r="O46" s="42">
        <f>J48*N44</f>
        <v>69.824447176675662</v>
      </c>
    </row>
    <row r="47" spans="2:15" x14ac:dyDescent="0.25">
      <c r="B47" s="47"/>
      <c r="C47" s="48"/>
      <c r="D47" s="48"/>
      <c r="E47" s="48"/>
      <c r="F47" s="48"/>
      <c r="G47" s="49"/>
      <c r="I47" s="36" t="s">
        <v>37</v>
      </c>
      <c r="J47" s="41">
        <f>SUM(K19+K31+K42)/3</f>
        <v>0.52241783917333207</v>
      </c>
      <c r="K47" s="1">
        <f>K51</f>
        <v>0.42797900327650312</v>
      </c>
    </row>
    <row r="48" spans="2:15" ht="15.75" thickBot="1" x14ac:dyDescent="0.3">
      <c r="B48" s="47"/>
      <c r="C48" s="48"/>
      <c r="D48" s="48"/>
      <c r="E48" s="48"/>
      <c r="F48" s="48"/>
      <c r="G48" s="49"/>
      <c r="I48" s="38" t="s">
        <v>38</v>
      </c>
      <c r="J48" s="41">
        <f>SUM(K21+K32+K43)/3</f>
        <v>0.69824447176675664</v>
      </c>
    </row>
    <row r="49" spans="2:14" ht="15.75" thickBot="1" x14ac:dyDescent="0.3">
      <c r="B49" s="47"/>
      <c r="C49" s="48"/>
      <c r="D49" s="48"/>
      <c r="E49" s="48"/>
      <c r="F49" s="48"/>
      <c r="G49" s="49"/>
    </row>
    <row r="50" spans="2:14" ht="15.75" thickBot="1" x14ac:dyDescent="0.3">
      <c r="B50" s="50"/>
      <c r="C50" s="51"/>
      <c r="D50" s="51"/>
      <c r="E50" s="51"/>
      <c r="F50" s="51"/>
      <c r="G50" s="52"/>
      <c r="I50" s="56" t="s">
        <v>39</v>
      </c>
      <c r="J50" s="57"/>
      <c r="K50" s="58"/>
      <c r="N50" s="41"/>
    </row>
    <row r="51" spans="2:14" x14ac:dyDescent="0.25">
      <c r="I51" s="36" t="s">
        <v>37</v>
      </c>
      <c r="K51" s="43">
        <f>O45/O44/100</f>
        <v>0.42797900327650312</v>
      </c>
    </row>
    <row r="52" spans="2:14" ht="15.75" thickBot="1" x14ac:dyDescent="0.3">
      <c r="I52" s="38" t="s">
        <v>38</v>
      </c>
      <c r="K52" s="43">
        <f>O46/O44/100</f>
        <v>0.57202099672349693</v>
      </c>
    </row>
  </sheetData>
  <mergeCells count="16">
    <mergeCell ref="B2:G2"/>
    <mergeCell ref="B7:G7"/>
    <mergeCell ref="B12:G12"/>
    <mergeCell ref="B17:D17"/>
    <mergeCell ref="E17:G17"/>
    <mergeCell ref="B41:G50"/>
    <mergeCell ref="B40:G40"/>
    <mergeCell ref="I46:K46"/>
    <mergeCell ref="B18:G18"/>
    <mergeCell ref="I18:K18"/>
    <mergeCell ref="I29:K29"/>
    <mergeCell ref="I40:K40"/>
    <mergeCell ref="B29:G29"/>
    <mergeCell ref="B19:G28"/>
    <mergeCell ref="B30:G39"/>
    <mergeCell ref="I50:K50"/>
  </mergeCells>
  <conditionalFormatting sqref="F51:F1048576 F1:F16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  <cfRule type="colorScale" priority="2">
      <colorScale>
        <cfvo type="min"/>
        <cfvo type="percentile" val="0"/>
        <cfvo type="max"/>
        <color rgb="FFFF0000"/>
        <color theme="0"/>
        <color theme="9" tint="0.39997558519241921"/>
      </colorScale>
    </cfRule>
    <cfRule type="colorScale" priority="3">
      <colorScale>
        <cfvo type="min"/>
        <cfvo type="max"/>
        <color rgb="FFFF5050"/>
        <color theme="9" tint="0.39997558519241921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7EA4-60E8-4882-BC59-4B8183AC4EB7}">
  <sheetPr codeName="Planilha2">
    <tabColor rgb="FF00B050"/>
  </sheetPr>
  <dimension ref="A1:AC39"/>
  <sheetViews>
    <sheetView workbookViewId="0">
      <selection activeCell="I30" sqref="I30"/>
    </sheetView>
  </sheetViews>
  <sheetFormatPr defaultRowHeight="15" x14ac:dyDescent="0.25"/>
  <cols>
    <col min="1" max="1" width="8.42578125" bestFit="1" customWidth="1"/>
    <col min="2" max="2" width="7.140625" bestFit="1" customWidth="1"/>
    <col min="3" max="3" width="5.42578125" bestFit="1" customWidth="1"/>
    <col min="4" max="4" width="6.7109375" bestFit="1" customWidth="1"/>
    <col min="5" max="5" width="11.140625" bestFit="1" customWidth="1"/>
    <col min="6" max="6" width="18.85546875" bestFit="1" customWidth="1"/>
    <col min="7" max="7" width="11.140625" bestFit="1" customWidth="1"/>
    <col min="8" max="8" width="8.7109375" bestFit="1" customWidth="1"/>
    <col min="9" max="9" width="7.85546875" bestFit="1" customWidth="1"/>
    <col min="10" max="10" width="8.42578125" bestFit="1" customWidth="1"/>
    <col min="11" max="11" width="10.140625" bestFit="1" customWidth="1"/>
    <col min="12" max="12" width="8.140625" bestFit="1" customWidth="1"/>
    <col min="13" max="13" width="10.140625" bestFit="1" customWidth="1"/>
    <col min="14" max="14" width="8.140625" bestFit="1" customWidth="1"/>
    <col min="15" max="15" width="16" bestFit="1" customWidth="1"/>
    <col min="16" max="16" width="17.42578125" bestFit="1" customWidth="1"/>
    <col min="17" max="17" width="5.5703125" bestFit="1" customWidth="1"/>
    <col min="20" max="20" width="8.140625" bestFit="1" customWidth="1"/>
    <col min="23" max="23" width="8.140625" bestFit="1" customWidth="1"/>
    <col min="24" max="24" width="2.140625" bestFit="1" customWidth="1"/>
    <col min="25" max="27" width="2" bestFit="1" customWidth="1"/>
    <col min="28" max="28" width="14" bestFit="1" customWidth="1"/>
    <col min="29" max="29" width="3" bestFit="1" customWidth="1"/>
  </cols>
  <sheetData>
    <row r="1" spans="1:29" ht="15.75" thickBot="1" x14ac:dyDescent="0.3">
      <c r="H1">
        <f>SUM(H3:H1048576)</f>
        <v>397.2</v>
      </c>
    </row>
    <row r="2" spans="1:29" s="30" customFormat="1" ht="15.75" thickBot="1" x14ac:dyDescent="0.3">
      <c r="A2" s="27" t="s">
        <v>29</v>
      </c>
      <c r="B2" s="28" t="s">
        <v>28</v>
      </c>
      <c r="C2" s="28" t="s">
        <v>27</v>
      </c>
      <c r="D2" s="28" t="s">
        <v>30</v>
      </c>
      <c r="E2" s="28" t="s">
        <v>31</v>
      </c>
      <c r="F2" s="28" t="s">
        <v>32</v>
      </c>
      <c r="G2" s="28" t="s">
        <v>33</v>
      </c>
      <c r="H2" s="28" t="s">
        <v>34</v>
      </c>
      <c r="I2" s="28" t="s">
        <v>35</v>
      </c>
      <c r="J2" s="29" t="s">
        <v>36</v>
      </c>
      <c r="K2" s="31"/>
    </row>
    <row r="3" spans="1:29" x14ac:dyDescent="0.25">
      <c r="A3">
        <v>132037102</v>
      </c>
      <c r="B3">
        <v>2026886835</v>
      </c>
      <c r="C3">
        <v>350</v>
      </c>
      <c r="E3" t="s">
        <v>8</v>
      </c>
      <c r="F3" t="s">
        <v>64</v>
      </c>
      <c r="G3">
        <v>4</v>
      </c>
      <c r="H3">
        <v>24</v>
      </c>
      <c r="I3">
        <v>0</v>
      </c>
      <c r="J3">
        <v>6</v>
      </c>
      <c r="K3" t="s">
        <v>65</v>
      </c>
      <c r="L3" s="18">
        <v>0.62083333333333335</v>
      </c>
      <c r="M3" t="s">
        <v>66</v>
      </c>
      <c r="N3" s="18">
        <v>0.40416666666666667</v>
      </c>
      <c r="O3" t="s">
        <v>41</v>
      </c>
      <c r="P3" t="s">
        <v>12</v>
      </c>
      <c r="Q3" t="s">
        <v>13</v>
      </c>
      <c r="T3" s="18">
        <v>0</v>
      </c>
      <c r="W3" s="18">
        <v>0</v>
      </c>
      <c r="Y3">
        <v>0</v>
      </c>
      <c r="Z3">
        <v>0</v>
      </c>
      <c r="AA3">
        <v>1</v>
      </c>
      <c r="AB3" t="s">
        <v>20</v>
      </c>
      <c r="AC3">
        <v>18</v>
      </c>
    </row>
    <row r="4" spans="1:29" x14ac:dyDescent="0.25">
      <c r="A4">
        <v>133844750</v>
      </c>
      <c r="B4">
        <v>2027914281</v>
      </c>
      <c r="C4">
        <v>290</v>
      </c>
      <c r="E4" t="s">
        <v>8</v>
      </c>
      <c r="F4" t="s">
        <v>67</v>
      </c>
      <c r="G4">
        <v>2</v>
      </c>
      <c r="H4">
        <v>8</v>
      </c>
      <c r="I4">
        <v>0</v>
      </c>
      <c r="J4">
        <v>4</v>
      </c>
      <c r="K4" t="s">
        <v>68</v>
      </c>
      <c r="L4" s="18">
        <v>0.3125</v>
      </c>
      <c r="M4" t="s">
        <v>68</v>
      </c>
      <c r="N4" s="18">
        <v>0.44583333333333336</v>
      </c>
      <c r="O4" t="s">
        <v>41</v>
      </c>
      <c r="P4" t="s">
        <v>14</v>
      </c>
      <c r="Q4" t="s">
        <v>13</v>
      </c>
      <c r="T4" s="18">
        <v>0</v>
      </c>
      <c r="W4" s="18">
        <v>0</v>
      </c>
      <c r="Y4">
        <v>0</v>
      </c>
      <c r="Z4">
        <v>0</v>
      </c>
      <c r="AA4">
        <v>1</v>
      </c>
      <c r="AB4" t="s">
        <v>20</v>
      </c>
      <c r="AC4">
        <v>18</v>
      </c>
    </row>
    <row r="5" spans="1:29" x14ac:dyDescent="0.25">
      <c r="A5">
        <v>134628342</v>
      </c>
      <c r="B5">
        <v>2027914281</v>
      </c>
      <c r="C5">
        <v>580</v>
      </c>
      <c r="E5" t="s">
        <v>8</v>
      </c>
      <c r="F5" t="s">
        <v>69</v>
      </c>
      <c r="G5">
        <v>2</v>
      </c>
      <c r="H5">
        <v>12</v>
      </c>
      <c r="I5">
        <v>0</v>
      </c>
      <c r="J5">
        <v>6</v>
      </c>
      <c r="K5" t="s">
        <v>68</v>
      </c>
      <c r="L5" s="18">
        <v>0.3125</v>
      </c>
      <c r="M5" t="s">
        <v>68</v>
      </c>
      <c r="N5" s="18">
        <v>0.5541666666666667</v>
      </c>
      <c r="O5" t="s">
        <v>11</v>
      </c>
      <c r="P5" t="s">
        <v>14</v>
      </c>
      <c r="Q5" t="s">
        <v>13</v>
      </c>
      <c r="T5" s="18">
        <v>0</v>
      </c>
      <c r="W5" s="18">
        <v>0</v>
      </c>
      <c r="Y5">
        <v>0</v>
      </c>
      <c r="Z5">
        <v>0</v>
      </c>
      <c r="AA5">
        <v>1</v>
      </c>
      <c r="AB5" t="s">
        <v>20</v>
      </c>
      <c r="AC5">
        <v>18</v>
      </c>
    </row>
    <row r="6" spans="1:29" x14ac:dyDescent="0.25">
      <c r="A6">
        <v>134628343</v>
      </c>
      <c r="B6">
        <v>2027914281</v>
      </c>
      <c r="C6">
        <v>590</v>
      </c>
      <c r="E6" t="s">
        <v>8</v>
      </c>
      <c r="F6" t="s">
        <v>70</v>
      </c>
      <c r="G6">
        <v>2</v>
      </c>
      <c r="H6">
        <v>8</v>
      </c>
      <c r="I6">
        <v>0</v>
      </c>
      <c r="J6">
        <v>4</v>
      </c>
      <c r="K6" t="s">
        <v>68</v>
      </c>
      <c r="L6" s="18">
        <v>0.3125</v>
      </c>
      <c r="M6" t="s">
        <v>68</v>
      </c>
      <c r="N6" s="18">
        <v>0.44583333333333336</v>
      </c>
      <c r="O6" t="s">
        <v>11</v>
      </c>
      <c r="P6" t="s">
        <v>14</v>
      </c>
      <c r="Q6" t="s">
        <v>13</v>
      </c>
      <c r="T6" s="18">
        <v>0</v>
      </c>
      <c r="W6" s="18">
        <v>0</v>
      </c>
      <c r="Y6">
        <v>0</v>
      </c>
      <c r="Z6">
        <v>0</v>
      </c>
      <c r="AA6">
        <v>1</v>
      </c>
      <c r="AB6" t="s">
        <v>20</v>
      </c>
      <c r="AC6">
        <v>18</v>
      </c>
    </row>
    <row r="7" spans="1:29" x14ac:dyDescent="0.25">
      <c r="A7">
        <v>134626869</v>
      </c>
      <c r="B7">
        <v>2028975154</v>
      </c>
      <c r="C7">
        <v>212</v>
      </c>
      <c r="D7">
        <v>10</v>
      </c>
      <c r="E7" t="s">
        <v>8</v>
      </c>
      <c r="F7" t="s">
        <v>71</v>
      </c>
      <c r="G7">
        <v>1</v>
      </c>
      <c r="H7">
        <v>4</v>
      </c>
      <c r="I7">
        <v>0</v>
      </c>
      <c r="J7">
        <v>4</v>
      </c>
      <c r="K7" t="s">
        <v>68</v>
      </c>
      <c r="L7" s="18">
        <v>0</v>
      </c>
      <c r="M7" t="s">
        <v>68</v>
      </c>
      <c r="N7" s="18">
        <v>0.16666666666666666</v>
      </c>
      <c r="O7" t="s">
        <v>11</v>
      </c>
      <c r="P7" t="s">
        <v>14</v>
      </c>
      <c r="Q7" t="s">
        <v>13</v>
      </c>
      <c r="T7" s="18">
        <v>0</v>
      </c>
      <c r="W7" s="18">
        <v>0</v>
      </c>
      <c r="Y7">
        <v>0</v>
      </c>
      <c r="Z7">
        <v>0</v>
      </c>
      <c r="AA7">
        <v>2</v>
      </c>
      <c r="AB7" t="s">
        <v>20</v>
      </c>
      <c r="AC7">
        <v>18</v>
      </c>
    </row>
    <row r="8" spans="1:29" x14ac:dyDescent="0.25">
      <c r="A8">
        <v>121381331</v>
      </c>
      <c r="B8">
        <v>2029466654</v>
      </c>
      <c r="C8">
        <v>40</v>
      </c>
      <c r="E8" t="s">
        <v>8</v>
      </c>
      <c r="F8" t="s">
        <v>72</v>
      </c>
      <c r="G8">
        <v>2</v>
      </c>
      <c r="H8">
        <v>6</v>
      </c>
      <c r="I8">
        <v>0</v>
      </c>
      <c r="J8">
        <v>3</v>
      </c>
      <c r="K8" t="s">
        <v>68</v>
      </c>
      <c r="L8" s="18">
        <v>0.16666666666666666</v>
      </c>
      <c r="M8" t="s">
        <v>68</v>
      </c>
      <c r="N8" s="18">
        <v>0.29166666666666669</v>
      </c>
      <c r="O8" t="s">
        <v>11</v>
      </c>
      <c r="P8" t="s">
        <v>14</v>
      </c>
      <c r="Q8" t="s">
        <v>13</v>
      </c>
      <c r="T8" s="18">
        <v>0</v>
      </c>
      <c r="W8" s="18">
        <v>0</v>
      </c>
      <c r="Y8">
        <v>0</v>
      </c>
      <c r="Z8">
        <v>0</v>
      </c>
      <c r="AA8">
        <v>2</v>
      </c>
      <c r="AB8" t="s">
        <v>20</v>
      </c>
      <c r="AC8">
        <v>18</v>
      </c>
    </row>
    <row r="9" spans="1:29" x14ac:dyDescent="0.25">
      <c r="A9">
        <v>122279722</v>
      </c>
      <c r="B9">
        <v>2029655578</v>
      </c>
      <c r="C9">
        <v>20</v>
      </c>
      <c r="E9" t="s">
        <v>8</v>
      </c>
      <c r="F9" t="s">
        <v>73</v>
      </c>
      <c r="G9">
        <v>2</v>
      </c>
      <c r="H9">
        <v>16</v>
      </c>
      <c r="I9">
        <v>0</v>
      </c>
      <c r="J9">
        <v>8</v>
      </c>
      <c r="K9" t="s">
        <v>74</v>
      </c>
      <c r="L9" s="18">
        <v>0.35416666666666669</v>
      </c>
      <c r="M9" t="s">
        <v>74</v>
      </c>
      <c r="N9" s="18">
        <v>0.66249999999999998</v>
      </c>
      <c r="O9" t="s">
        <v>17</v>
      </c>
      <c r="P9" t="s">
        <v>14</v>
      </c>
      <c r="Q9" t="s">
        <v>13</v>
      </c>
      <c r="T9" s="18">
        <v>0</v>
      </c>
      <c r="W9" s="19">
        <v>1</v>
      </c>
      <c r="Y9">
        <v>0</v>
      </c>
      <c r="Z9">
        <v>0</v>
      </c>
      <c r="AA9">
        <v>1</v>
      </c>
      <c r="AB9" t="s">
        <v>20</v>
      </c>
      <c r="AC9">
        <v>18</v>
      </c>
    </row>
    <row r="10" spans="1:29" x14ac:dyDescent="0.25">
      <c r="A10">
        <v>122279746</v>
      </c>
      <c r="B10">
        <v>2029655578</v>
      </c>
      <c r="C10">
        <v>26</v>
      </c>
      <c r="E10" t="s">
        <v>8</v>
      </c>
      <c r="F10" t="s">
        <v>75</v>
      </c>
      <c r="G10">
        <v>2</v>
      </c>
      <c r="H10">
        <v>16</v>
      </c>
      <c r="I10">
        <v>0</v>
      </c>
      <c r="J10">
        <v>8</v>
      </c>
      <c r="K10" t="s">
        <v>65</v>
      </c>
      <c r="L10" s="18">
        <v>0.36916666666666664</v>
      </c>
      <c r="M10" t="s">
        <v>65</v>
      </c>
      <c r="N10" s="18">
        <v>0.67749999999999999</v>
      </c>
      <c r="O10" t="s">
        <v>17</v>
      </c>
      <c r="P10" t="s">
        <v>14</v>
      </c>
      <c r="Q10" t="s">
        <v>13</v>
      </c>
      <c r="T10" s="18">
        <v>0</v>
      </c>
      <c r="W10" s="19">
        <v>1</v>
      </c>
      <c r="Y10">
        <v>0</v>
      </c>
      <c r="Z10">
        <v>0</v>
      </c>
      <c r="AA10">
        <v>1</v>
      </c>
      <c r="AB10" t="s">
        <v>20</v>
      </c>
      <c r="AC10">
        <v>18</v>
      </c>
    </row>
    <row r="11" spans="1:29" x14ac:dyDescent="0.25">
      <c r="A11">
        <v>122279747</v>
      </c>
      <c r="B11">
        <v>2029655578</v>
      </c>
      <c r="C11">
        <v>27</v>
      </c>
      <c r="E11" t="s">
        <v>8</v>
      </c>
      <c r="F11" t="s">
        <v>76</v>
      </c>
      <c r="G11">
        <v>2</v>
      </c>
      <c r="H11">
        <v>8</v>
      </c>
      <c r="I11">
        <v>0</v>
      </c>
      <c r="J11">
        <v>4</v>
      </c>
      <c r="K11" t="s">
        <v>65</v>
      </c>
      <c r="L11" s="18">
        <v>0.67749999999999999</v>
      </c>
      <c r="M11" t="s">
        <v>66</v>
      </c>
      <c r="N11" s="18">
        <v>0.39416666666666667</v>
      </c>
      <c r="O11" t="s">
        <v>17</v>
      </c>
      <c r="P11" t="s">
        <v>14</v>
      </c>
      <c r="Q11" t="s">
        <v>13</v>
      </c>
      <c r="T11" s="18">
        <v>0</v>
      </c>
      <c r="W11" s="19">
        <v>1</v>
      </c>
      <c r="Y11">
        <v>0</v>
      </c>
      <c r="Z11">
        <v>0</v>
      </c>
      <c r="AA11">
        <v>1</v>
      </c>
      <c r="AB11" t="s">
        <v>20</v>
      </c>
      <c r="AC11">
        <v>18</v>
      </c>
    </row>
    <row r="12" spans="1:29" x14ac:dyDescent="0.25">
      <c r="A12">
        <v>122279710</v>
      </c>
      <c r="B12">
        <v>2029655578</v>
      </c>
      <c r="C12">
        <v>40</v>
      </c>
      <c r="E12" t="s">
        <v>8</v>
      </c>
      <c r="F12" t="s">
        <v>48</v>
      </c>
      <c r="G12">
        <v>2</v>
      </c>
      <c r="H12">
        <v>16</v>
      </c>
      <c r="I12">
        <v>0</v>
      </c>
      <c r="J12">
        <v>8</v>
      </c>
      <c r="K12" t="s">
        <v>77</v>
      </c>
      <c r="L12" s="18">
        <v>0.3125</v>
      </c>
      <c r="M12" t="s">
        <v>77</v>
      </c>
      <c r="N12" s="18">
        <v>0.62083333333333335</v>
      </c>
      <c r="O12" t="s">
        <v>17</v>
      </c>
      <c r="P12" t="s">
        <v>14</v>
      </c>
      <c r="Q12" t="s">
        <v>13</v>
      </c>
      <c r="R12">
        <v>2</v>
      </c>
      <c r="S12" t="s">
        <v>77</v>
      </c>
      <c r="T12" s="18">
        <v>0</v>
      </c>
      <c r="W12" s="19">
        <v>1</v>
      </c>
      <c r="Y12">
        <v>0</v>
      </c>
      <c r="Z12">
        <v>0</v>
      </c>
      <c r="AA12">
        <v>1</v>
      </c>
      <c r="AB12" t="s">
        <v>20</v>
      </c>
      <c r="AC12">
        <v>18</v>
      </c>
    </row>
    <row r="13" spans="1:29" x14ac:dyDescent="0.25">
      <c r="A13">
        <v>122279734</v>
      </c>
      <c r="B13">
        <v>2029655578</v>
      </c>
      <c r="C13">
        <v>150</v>
      </c>
      <c r="E13" t="s">
        <v>8</v>
      </c>
      <c r="F13" t="s">
        <v>78</v>
      </c>
      <c r="G13">
        <v>2</v>
      </c>
      <c r="H13">
        <v>16</v>
      </c>
      <c r="I13">
        <v>0</v>
      </c>
      <c r="J13">
        <v>8</v>
      </c>
      <c r="K13" t="s">
        <v>77</v>
      </c>
      <c r="L13" s="18">
        <v>0.59416666666666662</v>
      </c>
      <c r="M13" t="s">
        <v>79</v>
      </c>
      <c r="N13" s="18">
        <v>0.48583333333333334</v>
      </c>
      <c r="O13" t="s">
        <v>17</v>
      </c>
      <c r="P13" t="s">
        <v>14</v>
      </c>
      <c r="Q13" t="s">
        <v>13</v>
      </c>
      <c r="T13" s="18">
        <v>0</v>
      </c>
      <c r="W13" s="19">
        <v>1</v>
      </c>
      <c r="Y13">
        <v>0</v>
      </c>
      <c r="Z13">
        <v>0</v>
      </c>
      <c r="AA13">
        <v>1</v>
      </c>
      <c r="AB13" t="s">
        <v>20</v>
      </c>
      <c r="AC13">
        <v>18</v>
      </c>
    </row>
    <row r="14" spans="1:29" x14ac:dyDescent="0.25">
      <c r="A14">
        <v>133309829</v>
      </c>
      <c r="B14">
        <v>2030591598</v>
      </c>
      <c r="C14">
        <v>45</v>
      </c>
      <c r="E14" t="s">
        <v>8</v>
      </c>
      <c r="F14" t="s">
        <v>87</v>
      </c>
      <c r="G14">
        <v>4</v>
      </c>
      <c r="H14">
        <v>64</v>
      </c>
      <c r="I14">
        <v>0</v>
      </c>
      <c r="J14">
        <v>16</v>
      </c>
      <c r="K14" t="s">
        <v>68</v>
      </c>
      <c r="L14" s="18">
        <v>0.37916666666666665</v>
      </c>
      <c r="M14" t="s">
        <v>74</v>
      </c>
      <c r="N14" s="18">
        <v>0.57916666666666672</v>
      </c>
      <c r="O14" t="s">
        <v>17</v>
      </c>
      <c r="P14" t="s">
        <v>14</v>
      </c>
      <c r="Q14" t="s">
        <v>13</v>
      </c>
      <c r="T14" s="18">
        <v>0</v>
      </c>
      <c r="W14" s="18">
        <v>0</v>
      </c>
      <c r="Y14">
        <v>0</v>
      </c>
      <c r="Z14">
        <v>0</v>
      </c>
      <c r="AA14">
        <v>1</v>
      </c>
      <c r="AB14" t="s">
        <v>20</v>
      </c>
      <c r="AC14">
        <v>18</v>
      </c>
    </row>
    <row r="15" spans="1:29" x14ac:dyDescent="0.25">
      <c r="A15">
        <v>128758191</v>
      </c>
      <c r="B15">
        <v>2030591598</v>
      </c>
      <c r="C15">
        <v>60</v>
      </c>
      <c r="E15" t="s">
        <v>8</v>
      </c>
      <c r="F15" t="s">
        <v>88</v>
      </c>
      <c r="G15">
        <v>1</v>
      </c>
      <c r="H15">
        <v>0.2</v>
      </c>
      <c r="I15">
        <v>0</v>
      </c>
      <c r="J15">
        <v>0.2</v>
      </c>
      <c r="K15" t="s">
        <v>74</v>
      </c>
      <c r="L15" s="18">
        <v>0.57916666666666672</v>
      </c>
      <c r="M15" t="s">
        <v>74</v>
      </c>
      <c r="N15" s="18">
        <v>0.58583333333333332</v>
      </c>
      <c r="O15" t="s">
        <v>15</v>
      </c>
      <c r="P15" t="s">
        <v>14</v>
      </c>
      <c r="Q15" t="s">
        <v>13</v>
      </c>
      <c r="T15" s="18">
        <v>0</v>
      </c>
      <c r="W15" s="18">
        <v>0</v>
      </c>
      <c r="Y15">
        <v>0</v>
      </c>
      <c r="Z15">
        <v>0</v>
      </c>
      <c r="AA15">
        <v>1</v>
      </c>
      <c r="AB15" t="s">
        <v>20</v>
      </c>
      <c r="AC15">
        <v>18</v>
      </c>
    </row>
    <row r="16" spans="1:29" x14ac:dyDescent="0.25">
      <c r="A16">
        <v>131800773</v>
      </c>
      <c r="B16">
        <v>2031021354</v>
      </c>
      <c r="C16">
        <v>30</v>
      </c>
      <c r="E16" t="s">
        <v>8</v>
      </c>
      <c r="F16" t="s">
        <v>89</v>
      </c>
      <c r="G16">
        <v>2</v>
      </c>
      <c r="H16">
        <v>2</v>
      </c>
      <c r="I16">
        <v>0</v>
      </c>
      <c r="J16">
        <v>1</v>
      </c>
      <c r="K16" t="s">
        <v>66</v>
      </c>
      <c r="L16" s="18">
        <v>0.44583333333333336</v>
      </c>
      <c r="M16" t="s">
        <v>66</v>
      </c>
      <c r="N16" s="18">
        <v>0.47916666666666669</v>
      </c>
      <c r="O16" t="s">
        <v>17</v>
      </c>
      <c r="P16" t="s">
        <v>14</v>
      </c>
      <c r="Q16" t="s">
        <v>13</v>
      </c>
      <c r="T16" s="18">
        <v>0</v>
      </c>
      <c r="W16" s="18">
        <v>0</v>
      </c>
      <c r="Y16">
        <v>0</v>
      </c>
      <c r="Z16">
        <v>0</v>
      </c>
      <c r="AA16">
        <v>1</v>
      </c>
      <c r="AB16" t="s">
        <v>20</v>
      </c>
      <c r="AC16">
        <v>18</v>
      </c>
    </row>
    <row r="17" spans="1:29" x14ac:dyDescent="0.25">
      <c r="A17">
        <v>131800780</v>
      </c>
      <c r="B17">
        <v>2031021354</v>
      </c>
      <c r="C17">
        <v>80</v>
      </c>
      <c r="E17" t="s">
        <v>8</v>
      </c>
      <c r="F17" t="s">
        <v>90</v>
      </c>
      <c r="G17">
        <v>2</v>
      </c>
      <c r="H17">
        <v>4</v>
      </c>
      <c r="I17">
        <v>0</v>
      </c>
      <c r="J17">
        <v>2</v>
      </c>
      <c r="K17" t="s">
        <v>77</v>
      </c>
      <c r="L17" s="18">
        <v>0.41916666666666669</v>
      </c>
      <c r="M17" t="s">
        <v>77</v>
      </c>
      <c r="N17" s="18">
        <v>0.48583333333333334</v>
      </c>
      <c r="O17" t="s">
        <v>17</v>
      </c>
      <c r="P17" t="s">
        <v>14</v>
      </c>
      <c r="Q17" t="s">
        <v>13</v>
      </c>
      <c r="T17" s="18">
        <v>0</v>
      </c>
      <c r="W17" s="18">
        <v>0</v>
      </c>
      <c r="Y17">
        <v>0</v>
      </c>
      <c r="Z17">
        <v>0</v>
      </c>
      <c r="AA17">
        <v>1</v>
      </c>
      <c r="AB17" t="s">
        <v>20</v>
      </c>
      <c r="AC17">
        <v>18</v>
      </c>
    </row>
    <row r="18" spans="1:29" x14ac:dyDescent="0.25">
      <c r="A18">
        <v>134170433</v>
      </c>
      <c r="B18">
        <v>2031025962</v>
      </c>
      <c r="C18">
        <v>20</v>
      </c>
      <c r="E18" t="s">
        <v>8</v>
      </c>
      <c r="F18" t="s">
        <v>91</v>
      </c>
      <c r="G18">
        <v>2</v>
      </c>
      <c r="H18">
        <v>8</v>
      </c>
      <c r="I18">
        <v>0</v>
      </c>
      <c r="J18">
        <v>4</v>
      </c>
      <c r="K18" t="s">
        <v>68</v>
      </c>
      <c r="L18" s="18">
        <v>0.47916666666666669</v>
      </c>
      <c r="M18" t="s">
        <v>68</v>
      </c>
      <c r="N18" s="18">
        <v>0.6875</v>
      </c>
      <c r="O18" t="s">
        <v>11</v>
      </c>
      <c r="P18" t="s">
        <v>14</v>
      </c>
      <c r="Q18" t="s">
        <v>13</v>
      </c>
      <c r="T18" s="18">
        <v>0</v>
      </c>
      <c r="W18" s="18">
        <v>0</v>
      </c>
      <c r="Y18">
        <v>0</v>
      </c>
      <c r="Z18">
        <v>0</v>
      </c>
      <c r="AA18">
        <v>2</v>
      </c>
      <c r="AB18" t="s">
        <v>20</v>
      </c>
      <c r="AC18">
        <v>18</v>
      </c>
    </row>
    <row r="19" spans="1:29" x14ac:dyDescent="0.25">
      <c r="A19">
        <v>132755779</v>
      </c>
      <c r="B19">
        <v>2031216118</v>
      </c>
      <c r="C19">
        <v>200</v>
      </c>
      <c r="E19" t="s">
        <v>8</v>
      </c>
      <c r="F19" t="s">
        <v>93</v>
      </c>
      <c r="G19">
        <v>8</v>
      </c>
      <c r="H19">
        <v>64</v>
      </c>
      <c r="I19">
        <v>0</v>
      </c>
      <c r="J19">
        <v>8</v>
      </c>
      <c r="K19" t="s">
        <v>68</v>
      </c>
      <c r="L19" s="18">
        <v>0.94089120370370372</v>
      </c>
      <c r="M19" t="s">
        <v>74</v>
      </c>
      <c r="N19" s="18">
        <v>0.27422453703703703</v>
      </c>
      <c r="O19" t="s">
        <v>41</v>
      </c>
      <c r="P19" t="s">
        <v>14</v>
      </c>
      <c r="Q19" t="s">
        <v>13</v>
      </c>
      <c r="T19" s="18">
        <v>0</v>
      </c>
      <c r="W19" s="18">
        <v>0</v>
      </c>
      <c r="Y19">
        <v>0</v>
      </c>
      <c r="Z19">
        <v>0</v>
      </c>
      <c r="AA19">
        <v>1</v>
      </c>
      <c r="AB19" t="s">
        <v>20</v>
      </c>
      <c r="AC19">
        <v>18</v>
      </c>
    </row>
    <row r="20" spans="1:29" x14ac:dyDescent="0.25">
      <c r="A20">
        <v>132755780</v>
      </c>
      <c r="B20">
        <v>2031216118</v>
      </c>
      <c r="C20">
        <v>210</v>
      </c>
      <c r="E20" t="s">
        <v>8</v>
      </c>
      <c r="F20" t="s">
        <v>94</v>
      </c>
      <c r="G20">
        <v>2</v>
      </c>
      <c r="H20">
        <v>12</v>
      </c>
      <c r="I20">
        <v>0</v>
      </c>
      <c r="J20">
        <v>6</v>
      </c>
      <c r="K20" t="s">
        <v>74</v>
      </c>
      <c r="L20" s="18">
        <v>0.27422453703703703</v>
      </c>
      <c r="M20" t="s">
        <v>74</v>
      </c>
      <c r="N20" s="18">
        <v>0.52422453703703709</v>
      </c>
      <c r="O20" t="s">
        <v>23</v>
      </c>
      <c r="P20" t="s">
        <v>14</v>
      </c>
      <c r="Q20" t="s">
        <v>13</v>
      </c>
      <c r="T20" s="18">
        <v>0</v>
      </c>
      <c r="W20" s="18">
        <v>0</v>
      </c>
      <c r="Y20">
        <v>0</v>
      </c>
      <c r="Z20">
        <v>0</v>
      </c>
      <c r="AA20">
        <v>1</v>
      </c>
      <c r="AB20" t="s">
        <v>20</v>
      </c>
      <c r="AC20">
        <v>18</v>
      </c>
    </row>
    <row r="21" spans="1:29" x14ac:dyDescent="0.25">
      <c r="A21">
        <v>132755784</v>
      </c>
      <c r="B21">
        <v>2031216118</v>
      </c>
      <c r="C21">
        <v>230</v>
      </c>
      <c r="E21" t="s">
        <v>8</v>
      </c>
      <c r="F21" t="s">
        <v>95</v>
      </c>
      <c r="G21">
        <v>2</v>
      </c>
      <c r="H21">
        <v>4</v>
      </c>
      <c r="I21">
        <v>0</v>
      </c>
      <c r="J21">
        <v>2</v>
      </c>
      <c r="K21" t="s">
        <v>74</v>
      </c>
      <c r="L21" s="18">
        <v>0.69089120370370372</v>
      </c>
      <c r="M21" t="s">
        <v>74</v>
      </c>
      <c r="N21" s="18">
        <v>0.77422453703703709</v>
      </c>
      <c r="O21" t="s">
        <v>41</v>
      </c>
      <c r="P21" t="s">
        <v>14</v>
      </c>
      <c r="Q21" t="s">
        <v>13</v>
      </c>
      <c r="T21" s="18">
        <v>0</v>
      </c>
      <c r="W21" s="18">
        <v>0</v>
      </c>
      <c r="Y21">
        <v>0</v>
      </c>
      <c r="Z21">
        <v>0</v>
      </c>
      <c r="AA21">
        <v>1</v>
      </c>
      <c r="AB21" t="s">
        <v>20</v>
      </c>
      <c r="AC21">
        <v>18</v>
      </c>
    </row>
    <row r="22" spans="1:29" x14ac:dyDescent="0.25">
      <c r="A22">
        <v>132873197</v>
      </c>
      <c r="B22">
        <v>2031234202</v>
      </c>
      <c r="C22">
        <v>10</v>
      </c>
      <c r="E22" t="s">
        <v>8</v>
      </c>
      <c r="F22" t="s">
        <v>18</v>
      </c>
      <c r="G22">
        <v>2</v>
      </c>
      <c r="H22">
        <v>24</v>
      </c>
      <c r="I22">
        <v>0</v>
      </c>
      <c r="J22">
        <v>12</v>
      </c>
      <c r="K22" t="s">
        <v>68</v>
      </c>
      <c r="L22" s="18">
        <v>0.3125</v>
      </c>
      <c r="M22" t="s">
        <v>74</v>
      </c>
      <c r="N22" s="18">
        <v>0.33750000000000002</v>
      </c>
      <c r="O22" t="s">
        <v>11</v>
      </c>
      <c r="P22" t="s">
        <v>14</v>
      </c>
      <c r="Q22" t="s">
        <v>13</v>
      </c>
      <c r="T22" s="18">
        <v>0</v>
      </c>
      <c r="W22" s="19">
        <v>1</v>
      </c>
      <c r="X22" t="s">
        <v>24</v>
      </c>
      <c r="Y22">
        <v>0</v>
      </c>
      <c r="Z22">
        <v>0</v>
      </c>
      <c r="AA22">
        <v>1</v>
      </c>
      <c r="AB22" t="s">
        <v>20</v>
      </c>
      <c r="AC22">
        <v>18</v>
      </c>
    </row>
    <row r="23" spans="1:29" x14ac:dyDescent="0.25">
      <c r="A23">
        <v>133417461</v>
      </c>
      <c r="B23">
        <v>2031323727</v>
      </c>
      <c r="C23">
        <v>30</v>
      </c>
      <c r="E23" t="s">
        <v>8</v>
      </c>
      <c r="F23" t="s">
        <v>49</v>
      </c>
      <c r="G23">
        <v>2</v>
      </c>
      <c r="H23">
        <v>18</v>
      </c>
      <c r="I23">
        <v>0</v>
      </c>
      <c r="J23">
        <v>9</v>
      </c>
      <c r="K23" t="s">
        <v>74</v>
      </c>
      <c r="L23" s="18">
        <v>0.34416666666666668</v>
      </c>
      <c r="M23" t="s">
        <v>74</v>
      </c>
      <c r="N23" s="18">
        <v>0.68583333333333329</v>
      </c>
      <c r="O23" t="s">
        <v>11</v>
      </c>
      <c r="P23" t="s">
        <v>14</v>
      </c>
      <c r="Q23" t="s">
        <v>13</v>
      </c>
      <c r="T23" s="18">
        <v>0</v>
      </c>
      <c r="W23" s="19">
        <v>1</v>
      </c>
      <c r="Y23">
        <v>0</v>
      </c>
      <c r="Z23">
        <v>0</v>
      </c>
      <c r="AA23">
        <v>1</v>
      </c>
      <c r="AB23" t="s">
        <v>20</v>
      </c>
      <c r="AC23">
        <v>18</v>
      </c>
    </row>
    <row r="24" spans="1:29" x14ac:dyDescent="0.25">
      <c r="A24">
        <v>134034541</v>
      </c>
      <c r="B24">
        <v>2031412109</v>
      </c>
      <c r="C24">
        <v>20</v>
      </c>
      <c r="D24">
        <v>10</v>
      </c>
      <c r="E24" t="s">
        <v>8</v>
      </c>
      <c r="F24" t="s">
        <v>106</v>
      </c>
      <c r="G24">
        <v>4</v>
      </c>
      <c r="H24">
        <v>48</v>
      </c>
      <c r="I24">
        <v>0</v>
      </c>
      <c r="J24">
        <v>12</v>
      </c>
      <c r="K24" t="s">
        <v>74</v>
      </c>
      <c r="L24" s="18">
        <v>0.57916666666666672</v>
      </c>
      <c r="M24" t="s">
        <v>65</v>
      </c>
      <c r="N24" s="18">
        <v>0.60416666666666663</v>
      </c>
      <c r="O24" t="s">
        <v>11</v>
      </c>
      <c r="P24" t="s">
        <v>14</v>
      </c>
      <c r="Q24" t="s">
        <v>13</v>
      </c>
      <c r="T24" s="18">
        <v>0</v>
      </c>
      <c r="W24" s="18">
        <v>0</v>
      </c>
      <c r="Y24">
        <v>0</v>
      </c>
      <c r="Z24">
        <v>0</v>
      </c>
      <c r="AA24">
        <v>2</v>
      </c>
      <c r="AB24" t="s">
        <v>107</v>
      </c>
      <c r="AC24">
        <v>14</v>
      </c>
    </row>
    <row r="25" spans="1:29" x14ac:dyDescent="0.25">
      <c r="A25">
        <v>134045389</v>
      </c>
      <c r="B25">
        <v>2031412678</v>
      </c>
      <c r="C25">
        <v>20</v>
      </c>
      <c r="E25" t="s">
        <v>8</v>
      </c>
      <c r="F25" t="s">
        <v>108</v>
      </c>
      <c r="G25">
        <v>2</v>
      </c>
      <c r="H25">
        <v>6</v>
      </c>
      <c r="I25">
        <v>0</v>
      </c>
      <c r="J25">
        <v>3</v>
      </c>
      <c r="K25" t="s">
        <v>66</v>
      </c>
      <c r="L25" s="18">
        <v>0.63916666666666666</v>
      </c>
      <c r="M25" t="s">
        <v>77</v>
      </c>
      <c r="N25" s="18">
        <v>0.32250000000000001</v>
      </c>
      <c r="O25" t="s">
        <v>11</v>
      </c>
      <c r="P25" t="s">
        <v>14</v>
      </c>
      <c r="Q25" t="s">
        <v>13</v>
      </c>
      <c r="T25" s="18">
        <v>0</v>
      </c>
      <c r="W25" s="18">
        <v>0</v>
      </c>
      <c r="Y25">
        <v>0</v>
      </c>
      <c r="Z25">
        <v>0</v>
      </c>
      <c r="AA25">
        <v>1</v>
      </c>
      <c r="AB25" t="s">
        <v>20</v>
      </c>
      <c r="AC25">
        <v>18</v>
      </c>
    </row>
    <row r="26" spans="1:29" x14ac:dyDescent="0.25">
      <c r="A26">
        <v>134565422</v>
      </c>
      <c r="B26">
        <v>2031508728</v>
      </c>
      <c r="C26">
        <v>45</v>
      </c>
      <c r="E26" t="s">
        <v>8</v>
      </c>
      <c r="F26" t="s">
        <v>110</v>
      </c>
      <c r="G26">
        <v>2</v>
      </c>
      <c r="H26">
        <v>4</v>
      </c>
      <c r="I26">
        <v>0</v>
      </c>
      <c r="J26">
        <v>2</v>
      </c>
      <c r="K26" t="s">
        <v>74</v>
      </c>
      <c r="L26" s="18">
        <v>0.39583333333333331</v>
      </c>
      <c r="M26" t="s">
        <v>74</v>
      </c>
      <c r="N26" s="18">
        <v>0.47916666666666669</v>
      </c>
      <c r="O26" t="s">
        <v>17</v>
      </c>
      <c r="P26" t="s">
        <v>14</v>
      </c>
      <c r="Q26" t="s">
        <v>13</v>
      </c>
      <c r="T26" s="18">
        <v>0</v>
      </c>
      <c r="W26" s="18">
        <v>0</v>
      </c>
      <c r="Y26">
        <v>0</v>
      </c>
      <c r="Z26">
        <v>0</v>
      </c>
      <c r="AA26">
        <v>1</v>
      </c>
      <c r="AB26" t="s">
        <v>20</v>
      </c>
      <c r="AC26">
        <v>18</v>
      </c>
    </row>
    <row r="27" spans="1:29" x14ac:dyDescent="0.25">
      <c r="A27">
        <v>134619164</v>
      </c>
      <c r="B27">
        <v>2031520505</v>
      </c>
      <c r="C27">
        <v>30</v>
      </c>
      <c r="E27" t="s">
        <v>8</v>
      </c>
      <c r="F27" t="s">
        <v>111</v>
      </c>
      <c r="G27">
        <v>2</v>
      </c>
      <c r="H27">
        <v>4</v>
      </c>
      <c r="I27">
        <v>0</v>
      </c>
      <c r="J27">
        <v>2</v>
      </c>
      <c r="K27" t="s">
        <v>68</v>
      </c>
      <c r="L27" s="18">
        <v>0.6875</v>
      </c>
      <c r="M27" t="s">
        <v>74</v>
      </c>
      <c r="N27" s="18">
        <v>0.35416666666666669</v>
      </c>
      <c r="O27" t="s">
        <v>11</v>
      </c>
      <c r="P27" t="s">
        <v>14</v>
      </c>
      <c r="Q27" t="s">
        <v>13</v>
      </c>
      <c r="T27" s="18">
        <v>0</v>
      </c>
      <c r="W27" s="19">
        <v>1</v>
      </c>
      <c r="X27" t="s">
        <v>24</v>
      </c>
      <c r="Y27">
        <v>0</v>
      </c>
      <c r="Z27">
        <v>0</v>
      </c>
      <c r="AB27" t="s">
        <v>20</v>
      </c>
      <c r="AC27">
        <v>18</v>
      </c>
    </row>
    <row r="28" spans="1:29" x14ac:dyDescent="0.25">
      <c r="A28">
        <v>134619175</v>
      </c>
      <c r="B28">
        <v>2031520505</v>
      </c>
      <c r="C28">
        <v>120</v>
      </c>
      <c r="E28" t="s">
        <v>8</v>
      </c>
      <c r="F28" t="s">
        <v>112</v>
      </c>
      <c r="G28">
        <v>1</v>
      </c>
      <c r="H28">
        <v>1</v>
      </c>
      <c r="I28">
        <v>0</v>
      </c>
      <c r="J28">
        <v>1</v>
      </c>
      <c r="K28" t="s">
        <v>65</v>
      </c>
      <c r="L28" s="18">
        <v>0.37916666666666665</v>
      </c>
      <c r="M28" t="s">
        <v>65</v>
      </c>
      <c r="N28" s="18">
        <v>0.42083333333333334</v>
      </c>
      <c r="O28" t="s">
        <v>11</v>
      </c>
      <c r="P28" t="s">
        <v>14</v>
      </c>
      <c r="Q28" t="s">
        <v>13</v>
      </c>
      <c r="T28" s="18">
        <v>0</v>
      </c>
      <c r="W28" s="19">
        <v>1</v>
      </c>
      <c r="Y28">
        <v>0</v>
      </c>
      <c r="Z28">
        <v>0</v>
      </c>
      <c r="AB28" t="s">
        <v>20</v>
      </c>
      <c r="AC28">
        <v>18</v>
      </c>
    </row>
    <row r="29" spans="1:29" x14ac:dyDescent="0.25">
      <c r="L29" s="18"/>
      <c r="N29" s="18"/>
      <c r="T29" s="18"/>
      <c r="W29" s="18"/>
    </row>
    <row r="30" spans="1:29" x14ac:dyDescent="0.25">
      <c r="L30" s="18"/>
      <c r="N30" s="18"/>
      <c r="T30" s="18"/>
      <c r="W30" s="18"/>
    </row>
    <row r="31" spans="1:29" x14ac:dyDescent="0.25">
      <c r="L31" s="18"/>
      <c r="N31" s="18"/>
      <c r="T31" s="18"/>
      <c r="W31" s="18"/>
    </row>
    <row r="32" spans="1:29" x14ac:dyDescent="0.25">
      <c r="L32" s="18"/>
      <c r="N32" s="18"/>
      <c r="T32" s="18"/>
      <c r="W32" s="18"/>
    </row>
    <row r="33" spans="12:23" x14ac:dyDescent="0.25">
      <c r="L33" s="18"/>
      <c r="N33" s="18"/>
      <c r="T33" s="18"/>
      <c r="W33" s="19"/>
    </row>
    <row r="34" spans="12:23" x14ac:dyDescent="0.25">
      <c r="L34" s="18"/>
      <c r="N34" s="18"/>
      <c r="T34" s="18"/>
      <c r="W34" s="19"/>
    </row>
    <row r="35" spans="12:23" x14ac:dyDescent="0.25">
      <c r="L35" s="18"/>
      <c r="N35" s="18"/>
      <c r="T35" s="18"/>
      <c r="W35" s="19"/>
    </row>
    <row r="36" spans="12:23" x14ac:dyDescent="0.25">
      <c r="L36" s="18"/>
      <c r="N36" s="18"/>
      <c r="T36" s="18"/>
      <c r="W36" s="19"/>
    </row>
    <row r="37" spans="12:23" x14ac:dyDescent="0.25">
      <c r="L37" s="18"/>
      <c r="N37" s="18"/>
      <c r="T37" s="18"/>
      <c r="W37" s="19"/>
    </row>
    <row r="38" spans="12:23" x14ac:dyDescent="0.25">
      <c r="L38" s="18"/>
      <c r="N38" s="18"/>
      <c r="T38" s="18"/>
      <c r="W38" s="19"/>
    </row>
    <row r="39" spans="12:23" x14ac:dyDescent="0.25">
      <c r="L39" s="18"/>
      <c r="N39" s="18"/>
      <c r="T39" s="18"/>
      <c r="W39" s="19"/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02F7-F9A6-4137-AE68-F81A0B5168CE}">
  <sheetPr codeName="Planilha3">
    <tabColor rgb="FF00B050"/>
  </sheetPr>
  <dimension ref="A1:AC55"/>
  <sheetViews>
    <sheetView topLeftCell="C1" workbookViewId="0">
      <selection activeCell="AC40" sqref="AC40"/>
    </sheetView>
  </sheetViews>
  <sheetFormatPr defaultRowHeight="15" x14ac:dyDescent="0.25"/>
  <cols>
    <col min="1" max="1" width="8.42578125" bestFit="1" customWidth="1"/>
    <col min="2" max="2" width="7.140625" bestFit="1" customWidth="1"/>
    <col min="3" max="3" width="5.42578125" bestFit="1" customWidth="1"/>
    <col min="4" max="4" width="6.7109375" bestFit="1" customWidth="1"/>
    <col min="5" max="5" width="11.140625" bestFit="1" customWidth="1"/>
    <col min="6" max="6" width="18.85546875" bestFit="1" customWidth="1"/>
    <col min="7" max="7" width="11.140625" bestFit="1" customWidth="1"/>
    <col min="8" max="8" width="8.7109375" bestFit="1" customWidth="1"/>
    <col min="9" max="9" width="7.85546875" bestFit="1" customWidth="1"/>
    <col min="10" max="10" width="8.42578125" bestFit="1" customWidth="1"/>
    <col min="11" max="11" width="10.140625" bestFit="1" customWidth="1"/>
    <col min="12" max="12" width="8.140625" bestFit="1" customWidth="1"/>
    <col min="13" max="13" width="10.140625" bestFit="1" customWidth="1"/>
    <col min="14" max="14" width="8.140625" bestFit="1" customWidth="1"/>
    <col min="15" max="15" width="16" bestFit="1" customWidth="1"/>
    <col min="16" max="16" width="17.42578125" bestFit="1" customWidth="1"/>
    <col min="17" max="17" width="5.5703125" bestFit="1" customWidth="1"/>
    <col min="20" max="20" width="8.140625" bestFit="1" customWidth="1"/>
    <col min="23" max="23" width="8.140625" bestFit="1" customWidth="1"/>
    <col min="24" max="24" width="2.140625" bestFit="1" customWidth="1"/>
    <col min="25" max="27" width="2" bestFit="1" customWidth="1"/>
    <col min="28" max="28" width="14" bestFit="1" customWidth="1"/>
    <col min="29" max="29" width="3" bestFit="1" customWidth="1"/>
  </cols>
  <sheetData>
    <row r="1" spans="1:29" ht="15.75" thickBot="1" x14ac:dyDescent="0.3">
      <c r="H1">
        <f>SUM(H3:H1048576)</f>
        <v>141.80000000000001</v>
      </c>
    </row>
    <row r="2" spans="1:29" s="30" customFormat="1" ht="15.75" thickBot="1" x14ac:dyDescent="0.3">
      <c r="A2" s="27" t="s">
        <v>29</v>
      </c>
      <c r="B2" s="28" t="s">
        <v>28</v>
      </c>
      <c r="C2" s="28" t="s">
        <v>27</v>
      </c>
      <c r="D2" s="28" t="s">
        <v>30</v>
      </c>
      <c r="E2" s="28" t="s">
        <v>31</v>
      </c>
      <c r="F2" s="28" t="s">
        <v>32</v>
      </c>
      <c r="G2" s="28" t="s">
        <v>33</v>
      </c>
      <c r="H2" s="28" t="s">
        <v>34</v>
      </c>
      <c r="I2" s="28" t="s">
        <v>35</v>
      </c>
      <c r="J2" s="29" t="s">
        <v>36</v>
      </c>
      <c r="K2" s="31"/>
    </row>
    <row r="3" spans="1:29" x14ac:dyDescent="0.25">
      <c r="A3">
        <v>123166996</v>
      </c>
      <c r="B3">
        <v>2029717491</v>
      </c>
      <c r="C3">
        <v>130</v>
      </c>
      <c r="E3" t="s">
        <v>9</v>
      </c>
      <c r="F3" t="s">
        <v>120</v>
      </c>
      <c r="G3">
        <v>1</v>
      </c>
      <c r="H3">
        <v>0.2</v>
      </c>
      <c r="I3">
        <v>0</v>
      </c>
      <c r="J3">
        <v>0.2</v>
      </c>
      <c r="K3" t="s">
        <v>74</v>
      </c>
      <c r="L3" s="18">
        <v>0.40416666666666667</v>
      </c>
      <c r="M3" t="s">
        <v>74</v>
      </c>
      <c r="N3" s="18">
        <v>0.41083333333333333</v>
      </c>
      <c r="O3" t="s">
        <v>41</v>
      </c>
      <c r="P3" t="s">
        <v>14</v>
      </c>
      <c r="Q3" t="s">
        <v>13</v>
      </c>
      <c r="T3" s="18">
        <v>0</v>
      </c>
      <c r="W3" s="19">
        <v>0</v>
      </c>
      <c r="Y3">
        <v>0</v>
      </c>
      <c r="Z3">
        <v>0</v>
      </c>
      <c r="AA3">
        <v>1</v>
      </c>
      <c r="AB3" t="s">
        <v>20</v>
      </c>
      <c r="AC3">
        <v>18</v>
      </c>
    </row>
    <row r="4" spans="1:29" x14ac:dyDescent="0.25">
      <c r="A4">
        <v>125191742</v>
      </c>
      <c r="B4">
        <v>2030059635</v>
      </c>
      <c r="C4">
        <v>340</v>
      </c>
      <c r="E4" t="s">
        <v>9</v>
      </c>
      <c r="F4" t="s">
        <v>124</v>
      </c>
      <c r="G4">
        <v>2</v>
      </c>
      <c r="H4">
        <v>8</v>
      </c>
      <c r="I4">
        <v>0</v>
      </c>
      <c r="J4">
        <v>4</v>
      </c>
      <c r="K4" t="s">
        <v>68</v>
      </c>
      <c r="L4" s="18">
        <v>0.3125</v>
      </c>
      <c r="M4" t="s">
        <v>68</v>
      </c>
      <c r="N4" s="18">
        <v>0.47916666666666669</v>
      </c>
      <c r="O4" t="s">
        <v>41</v>
      </c>
      <c r="P4" t="s">
        <v>16</v>
      </c>
      <c r="Q4" t="s">
        <v>13</v>
      </c>
      <c r="T4" s="18">
        <v>0</v>
      </c>
      <c r="W4" s="18">
        <v>0</v>
      </c>
      <c r="Y4">
        <v>0</v>
      </c>
      <c r="Z4">
        <v>0</v>
      </c>
      <c r="AA4">
        <v>2</v>
      </c>
      <c r="AB4" t="s">
        <v>20</v>
      </c>
      <c r="AC4">
        <v>18</v>
      </c>
    </row>
    <row r="5" spans="1:29" x14ac:dyDescent="0.25">
      <c r="A5">
        <v>134185091</v>
      </c>
      <c r="B5">
        <v>2030059635</v>
      </c>
      <c r="C5">
        <v>380</v>
      </c>
      <c r="E5" t="s">
        <v>9</v>
      </c>
      <c r="F5" t="s">
        <v>125</v>
      </c>
      <c r="G5">
        <v>2</v>
      </c>
      <c r="H5">
        <v>8</v>
      </c>
      <c r="I5">
        <v>0</v>
      </c>
      <c r="J5">
        <v>4</v>
      </c>
      <c r="K5" t="s">
        <v>68</v>
      </c>
      <c r="L5" s="18">
        <v>0.5625</v>
      </c>
      <c r="M5" t="s">
        <v>68</v>
      </c>
      <c r="N5" s="18">
        <v>0.72916666666666663</v>
      </c>
      <c r="O5" t="s">
        <v>41</v>
      </c>
      <c r="P5" t="s">
        <v>14</v>
      </c>
      <c r="Q5" t="s">
        <v>13</v>
      </c>
      <c r="T5" s="18">
        <v>0</v>
      </c>
      <c r="W5" s="18">
        <v>0</v>
      </c>
      <c r="Y5">
        <v>0</v>
      </c>
      <c r="Z5">
        <v>0</v>
      </c>
      <c r="AA5">
        <v>2</v>
      </c>
      <c r="AB5" t="s">
        <v>20</v>
      </c>
      <c r="AC5">
        <v>18</v>
      </c>
    </row>
    <row r="6" spans="1:29" x14ac:dyDescent="0.25">
      <c r="A6">
        <v>127359076</v>
      </c>
      <c r="B6">
        <v>2030402239</v>
      </c>
      <c r="C6">
        <v>25</v>
      </c>
      <c r="E6" t="s">
        <v>9</v>
      </c>
      <c r="F6" t="s">
        <v>131</v>
      </c>
      <c r="G6">
        <v>2</v>
      </c>
      <c r="H6">
        <v>4</v>
      </c>
      <c r="I6">
        <v>0</v>
      </c>
      <c r="J6">
        <v>2</v>
      </c>
      <c r="K6" t="s">
        <v>68</v>
      </c>
      <c r="L6" s="18">
        <v>0.39583333333333331</v>
      </c>
      <c r="M6" t="s">
        <v>68</v>
      </c>
      <c r="N6" s="18">
        <v>0.47916666666666669</v>
      </c>
      <c r="O6" t="s">
        <v>11</v>
      </c>
      <c r="P6" t="s">
        <v>14</v>
      </c>
      <c r="Q6" t="s">
        <v>13</v>
      </c>
      <c r="T6" s="18">
        <v>0</v>
      </c>
      <c r="W6" s="18">
        <v>0</v>
      </c>
      <c r="Y6">
        <v>0</v>
      </c>
      <c r="Z6">
        <v>0</v>
      </c>
      <c r="AA6">
        <v>2</v>
      </c>
      <c r="AB6" t="s">
        <v>20</v>
      </c>
      <c r="AC6">
        <v>18</v>
      </c>
    </row>
    <row r="7" spans="1:29" x14ac:dyDescent="0.25">
      <c r="A7">
        <v>130521176</v>
      </c>
      <c r="B7">
        <v>2030854280</v>
      </c>
      <c r="C7">
        <v>40</v>
      </c>
      <c r="E7" t="s">
        <v>9</v>
      </c>
      <c r="F7" t="s">
        <v>56</v>
      </c>
      <c r="G7">
        <v>2</v>
      </c>
      <c r="H7">
        <v>6</v>
      </c>
      <c r="I7">
        <v>0</v>
      </c>
      <c r="J7">
        <v>3</v>
      </c>
      <c r="K7" t="s">
        <v>66</v>
      </c>
      <c r="L7" s="18">
        <v>0.35416666666666669</v>
      </c>
      <c r="M7" t="s">
        <v>66</v>
      </c>
      <c r="N7" s="18">
        <v>0.45416666666666666</v>
      </c>
      <c r="O7" t="s">
        <v>41</v>
      </c>
      <c r="P7" t="s">
        <v>14</v>
      </c>
      <c r="Q7" t="s">
        <v>13</v>
      </c>
      <c r="T7" s="18">
        <v>0</v>
      </c>
      <c r="W7" s="18">
        <v>0</v>
      </c>
      <c r="Y7">
        <v>0</v>
      </c>
      <c r="Z7">
        <v>0</v>
      </c>
      <c r="AA7">
        <v>1</v>
      </c>
      <c r="AB7" t="s">
        <v>20</v>
      </c>
      <c r="AC7">
        <v>18</v>
      </c>
    </row>
    <row r="8" spans="1:29" x14ac:dyDescent="0.25">
      <c r="A8">
        <v>130521177</v>
      </c>
      <c r="B8">
        <v>2030854280</v>
      </c>
      <c r="C8">
        <v>50</v>
      </c>
      <c r="E8" t="s">
        <v>9</v>
      </c>
      <c r="F8" t="s">
        <v>57</v>
      </c>
      <c r="G8">
        <v>2</v>
      </c>
      <c r="H8">
        <v>4</v>
      </c>
      <c r="I8">
        <v>0</v>
      </c>
      <c r="J8">
        <v>2</v>
      </c>
      <c r="K8" t="s">
        <v>66</v>
      </c>
      <c r="L8" s="18">
        <v>0.45416666666666666</v>
      </c>
      <c r="M8" t="s">
        <v>66</v>
      </c>
      <c r="N8" s="18">
        <v>0.5625</v>
      </c>
      <c r="O8" t="s">
        <v>41</v>
      </c>
      <c r="P8" t="s">
        <v>14</v>
      </c>
      <c r="Q8" t="s">
        <v>13</v>
      </c>
      <c r="T8" s="18">
        <v>0</v>
      </c>
      <c r="W8" s="18">
        <v>0</v>
      </c>
      <c r="Y8">
        <v>0</v>
      </c>
      <c r="Z8">
        <v>0</v>
      </c>
      <c r="AA8">
        <v>1</v>
      </c>
      <c r="AB8" t="s">
        <v>20</v>
      </c>
      <c r="AC8">
        <v>18</v>
      </c>
    </row>
    <row r="9" spans="1:29" x14ac:dyDescent="0.25">
      <c r="A9">
        <v>130521178</v>
      </c>
      <c r="B9">
        <v>2030854280</v>
      </c>
      <c r="C9">
        <v>60</v>
      </c>
      <c r="E9" t="s">
        <v>9</v>
      </c>
      <c r="F9" t="s">
        <v>139</v>
      </c>
      <c r="G9">
        <v>1</v>
      </c>
      <c r="H9">
        <v>0.2</v>
      </c>
      <c r="I9">
        <v>0</v>
      </c>
      <c r="J9">
        <v>0.2</v>
      </c>
      <c r="K9" t="s">
        <v>66</v>
      </c>
      <c r="L9" s="18">
        <v>0.5658333333333333</v>
      </c>
      <c r="M9" t="s">
        <v>66</v>
      </c>
      <c r="N9" s="18">
        <v>0.57250000000000001</v>
      </c>
      <c r="O9" t="s">
        <v>41</v>
      </c>
      <c r="P9" t="s">
        <v>14</v>
      </c>
      <c r="Q9" t="s">
        <v>13</v>
      </c>
      <c r="T9" s="18">
        <v>0</v>
      </c>
      <c r="W9" s="18">
        <v>0</v>
      </c>
      <c r="Y9">
        <v>0</v>
      </c>
      <c r="Z9">
        <v>0</v>
      </c>
      <c r="AA9">
        <v>1</v>
      </c>
      <c r="AB9" t="s">
        <v>20</v>
      </c>
      <c r="AC9">
        <v>18</v>
      </c>
    </row>
    <row r="10" spans="1:29" x14ac:dyDescent="0.25">
      <c r="A10">
        <v>131800779</v>
      </c>
      <c r="B10">
        <v>2031021354</v>
      </c>
      <c r="C10">
        <v>70</v>
      </c>
      <c r="D10">
        <v>10</v>
      </c>
      <c r="E10" t="s">
        <v>9</v>
      </c>
      <c r="F10" t="s">
        <v>140</v>
      </c>
      <c r="G10">
        <v>1</v>
      </c>
      <c r="H10">
        <v>2</v>
      </c>
      <c r="I10">
        <v>0</v>
      </c>
      <c r="J10">
        <v>2</v>
      </c>
      <c r="K10" t="s">
        <v>77</v>
      </c>
      <c r="L10" s="18">
        <v>0.35249999999999998</v>
      </c>
      <c r="M10" t="s">
        <v>77</v>
      </c>
      <c r="N10" s="18">
        <v>0.41916666666666669</v>
      </c>
      <c r="O10" t="s">
        <v>11</v>
      </c>
      <c r="P10" t="s">
        <v>14</v>
      </c>
      <c r="Q10" t="s">
        <v>13</v>
      </c>
      <c r="T10" s="18">
        <v>0</v>
      </c>
      <c r="W10" s="19">
        <v>0</v>
      </c>
      <c r="Y10">
        <v>0</v>
      </c>
      <c r="Z10">
        <v>0</v>
      </c>
      <c r="AA10">
        <v>1</v>
      </c>
      <c r="AB10" t="s">
        <v>20</v>
      </c>
      <c r="AC10">
        <v>18</v>
      </c>
    </row>
    <row r="11" spans="1:29" x14ac:dyDescent="0.25">
      <c r="A11">
        <v>131800776</v>
      </c>
      <c r="B11">
        <v>2031021354</v>
      </c>
      <c r="C11">
        <v>35</v>
      </c>
      <c r="E11" t="s">
        <v>9</v>
      </c>
      <c r="F11" t="s">
        <v>141</v>
      </c>
      <c r="G11">
        <v>1</v>
      </c>
      <c r="H11">
        <v>0.2</v>
      </c>
      <c r="I11">
        <v>0</v>
      </c>
      <c r="J11">
        <v>0.2</v>
      </c>
      <c r="K11" t="s">
        <v>66</v>
      </c>
      <c r="L11" s="18">
        <v>0.5625</v>
      </c>
      <c r="M11" t="s">
        <v>66</v>
      </c>
      <c r="N11" s="18">
        <v>0.56916666666666671</v>
      </c>
      <c r="O11" t="s">
        <v>11</v>
      </c>
      <c r="P11" t="s">
        <v>14</v>
      </c>
      <c r="Q11" t="s">
        <v>13</v>
      </c>
      <c r="T11" s="18">
        <v>0</v>
      </c>
      <c r="W11" s="18">
        <v>0</v>
      </c>
      <c r="Y11">
        <v>0</v>
      </c>
      <c r="Z11">
        <v>0</v>
      </c>
      <c r="AA11">
        <v>1</v>
      </c>
      <c r="AB11" t="s">
        <v>20</v>
      </c>
      <c r="AC11">
        <v>18</v>
      </c>
    </row>
    <row r="12" spans="1:29" x14ac:dyDescent="0.25">
      <c r="A12">
        <v>134170432</v>
      </c>
      <c r="B12">
        <v>2031025962</v>
      </c>
      <c r="C12">
        <v>10</v>
      </c>
      <c r="E12" t="s">
        <v>9</v>
      </c>
      <c r="F12" t="s">
        <v>142</v>
      </c>
      <c r="G12">
        <v>2</v>
      </c>
      <c r="H12">
        <v>8</v>
      </c>
      <c r="I12">
        <v>0</v>
      </c>
      <c r="J12">
        <v>4</v>
      </c>
      <c r="K12" t="s">
        <v>68</v>
      </c>
      <c r="L12" s="18">
        <v>0.3125</v>
      </c>
      <c r="M12" t="s">
        <v>68</v>
      </c>
      <c r="N12" s="18">
        <v>0.47916666666666669</v>
      </c>
      <c r="O12" t="s">
        <v>11</v>
      </c>
      <c r="P12" t="s">
        <v>14</v>
      </c>
      <c r="Q12" t="s">
        <v>13</v>
      </c>
      <c r="T12" s="18">
        <v>0</v>
      </c>
      <c r="W12" s="18">
        <v>0</v>
      </c>
      <c r="Y12">
        <v>0</v>
      </c>
      <c r="Z12">
        <v>0</v>
      </c>
      <c r="AA12">
        <v>2</v>
      </c>
      <c r="AB12" t="s">
        <v>20</v>
      </c>
      <c r="AC12">
        <v>18</v>
      </c>
    </row>
    <row r="13" spans="1:29" x14ac:dyDescent="0.25">
      <c r="A13">
        <v>134170441</v>
      </c>
      <c r="B13">
        <v>2031025962</v>
      </c>
      <c r="C13">
        <v>80</v>
      </c>
      <c r="E13" t="s">
        <v>9</v>
      </c>
      <c r="F13" t="s">
        <v>143</v>
      </c>
      <c r="G13">
        <v>2</v>
      </c>
      <c r="H13">
        <v>8</v>
      </c>
      <c r="I13">
        <v>0</v>
      </c>
      <c r="J13">
        <v>4</v>
      </c>
      <c r="K13" t="s">
        <v>66</v>
      </c>
      <c r="L13" s="18">
        <v>0.375</v>
      </c>
      <c r="M13" t="s">
        <v>66</v>
      </c>
      <c r="N13" s="18">
        <v>0.58333333333333337</v>
      </c>
      <c r="O13" t="s">
        <v>11</v>
      </c>
      <c r="P13" t="s">
        <v>14</v>
      </c>
      <c r="Q13" t="s">
        <v>13</v>
      </c>
      <c r="T13" s="18">
        <v>0</v>
      </c>
      <c r="W13" s="18">
        <v>0</v>
      </c>
      <c r="Y13">
        <v>0</v>
      </c>
      <c r="Z13">
        <v>0</v>
      </c>
      <c r="AA13">
        <v>2</v>
      </c>
      <c r="AB13" t="s">
        <v>20</v>
      </c>
      <c r="AC13">
        <v>18</v>
      </c>
    </row>
    <row r="14" spans="1:29" x14ac:dyDescent="0.25">
      <c r="A14">
        <v>132755777</v>
      </c>
      <c r="B14">
        <v>2031216118</v>
      </c>
      <c r="C14">
        <v>180</v>
      </c>
      <c r="E14" t="s">
        <v>9</v>
      </c>
      <c r="F14" t="s">
        <v>152</v>
      </c>
      <c r="G14">
        <v>2</v>
      </c>
      <c r="H14">
        <v>12</v>
      </c>
      <c r="I14">
        <v>0</v>
      </c>
      <c r="J14">
        <v>6</v>
      </c>
      <c r="K14" t="s">
        <v>68</v>
      </c>
      <c r="L14" s="18">
        <v>0.60755787037037035</v>
      </c>
      <c r="M14" t="s">
        <v>68</v>
      </c>
      <c r="N14" s="18">
        <v>0.85755787037037035</v>
      </c>
      <c r="O14" t="s">
        <v>41</v>
      </c>
      <c r="P14" t="s">
        <v>14</v>
      </c>
      <c r="Q14" t="s">
        <v>13</v>
      </c>
      <c r="T14" s="18">
        <v>0</v>
      </c>
      <c r="W14" s="18">
        <v>0</v>
      </c>
      <c r="Y14">
        <v>0</v>
      </c>
      <c r="Z14">
        <v>0</v>
      </c>
      <c r="AA14">
        <v>1</v>
      </c>
      <c r="AB14" t="s">
        <v>20</v>
      </c>
      <c r="AC14">
        <v>18</v>
      </c>
    </row>
    <row r="15" spans="1:29" x14ac:dyDescent="0.25">
      <c r="A15">
        <v>132755789</v>
      </c>
      <c r="B15">
        <v>2031216118</v>
      </c>
      <c r="C15">
        <v>300</v>
      </c>
      <c r="E15" t="s">
        <v>9</v>
      </c>
      <c r="F15" t="s">
        <v>153</v>
      </c>
      <c r="G15">
        <v>1</v>
      </c>
      <c r="H15">
        <v>0.2</v>
      </c>
      <c r="I15">
        <v>0</v>
      </c>
      <c r="J15">
        <v>0.2</v>
      </c>
      <c r="K15" t="s">
        <v>74</v>
      </c>
      <c r="L15" s="18">
        <v>0.77422453703703709</v>
      </c>
      <c r="M15" t="s">
        <v>74</v>
      </c>
      <c r="N15" s="18">
        <v>0.78255787037037039</v>
      </c>
      <c r="O15" t="s">
        <v>41</v>
      </c>
      <c r="P15" t="s">
        <v>14</v>
      </c>
      <c r="Q15" t="s">
        <v>13</v>
      </c>
      <c r="T15" s="18">
        <v>0</v>
      </c>
      <c r="W15" s="18">
        <v>0</v>
      </c>
      <c r="Y15">
        <v>0</v>
      </c>
      <c r="Z15">
        <v>0</v>
      </c>
      <c r="AA15">
        <v>1</v>
      </c>
      <c r="AB15" t="s">
        <v>20</v>
      </c>
      <c r="AC15">
        <v>18</v>
      </c>
    </row>
    <row r="16" spans="1:29" x14ac:dyDescent="0.25">
      <c r="A16">
        <v>132909451</v>
      </c>
      <c r="B16">
        <v>2031237722</v>
      </c>
      <c r="C16">
        <v>10</v>
      </c>
      <c r="E16" t="s">
        <v>9</v>
      </c>
      <c r="F16" t="s">
        <v>154</v>
      </c>
      <c r="G16">
        <v>2</v>
      </c>
      <c r="H16">
        <v>2</v>
      </c>
      <c r="I16">
        <v>0</v>
      </c>
      <c r="J16">
        <v>1</v>
      </c>
      <c r="K16" t="s">
        <v>68</v>
      </c>
      <c r="L16" s="18">
        <v>0.44583333333333336</v>
      </c>
      <c r="M16" t="s">
        <v>68</v>
      </c>
      <c r="N16" s="18">
        <v>0.47916666666666669</v>
      </c>
      <c r="O16" t="s">
        <v>11</v>
      </c>
      <c r="P16" t="s">
        <v>14</v>
      </c>
      <c r="Q16" t="s">
        <v>13</v>
      </c>
      <c r="T16" s="18">
        <v>0</v>
      </c>
      <c r="W16" s="18">
        <v>0</v>
      </c>
      <c r="Y16">
        <v>0</v>
      </c>
      <c r="Z16">
        <v>0</v>
      </c>
      <c r="AA16">
        <v>1</v>
      </c>
      <c r="AB16" t="s">
        <v>20</v>
      </c>
      <c r="AC16">
        <v>18</v>
      </c>
    </row>
    <row r="17" spans="1:29" x14ac:dyDescent="0.25">
      <c r="A17">
        <v>132960499</v>
      </c>
      <c r="B17">
        <v>2031237722</v>
      </c>
      <c r="C17">
        <v>30</v>
      </c>
      <c r="E17" t="s">
        <v>9</v>
      </c>
      <c r="F17" t="s">
        <v>155</v>
      </c>
      <c r="G17">
        <v>2</v>
      </c>
      <c r="H17">
        <v>4</v>
      </c>
      <c r="I17">
        <v>0</v>
      </c>
      <c r="J17">
        <v>2</v>
      </c>
      <c r="K17" t="s">
        <v>77</v>
      </c>
      <c r="L17" s="18">
        <v>0.45416666666666666</v>
      </c>
      <c r="M17" t="s">
        <v>77</v>
      </c>
      <c r="N17" s="18">
        <v>0.5625</v>
      </c>
      <c r="O17" t="s">
        <v>11</v>
      </c>
      <c r="P17" t="s">
        <v>14</v>
      </c>
      <c r="Q17" t="s">
        <v>13</v>
      </c>
      <c r="T17" s="18">
        <v>0</v>
      </c>
      <c r="W17" s="18">
        <v>0</v>
      </c>
      <c r="Y17">
        <v>0</v>
      </c>
      <c r="Z17">
        <v>0</v>
      </c>
      <c r="AA17">
        <v>1</v>
      </c>
      <c r="AB17" t="s">
        <v>20</v>
      </c>
      <c r="AC17">
        <v>18</v>
      </c>
    </row>
    <row r="18" spans="1:29" x14ac:dyDescent="0.25">
      <c r="A18">
        <v>132909454</v>
      </c>
      <c r="B18">
        <v>2031237723</v>
      </c>
      <c r="C18">
        <v>10</v>
      </c>
      <c r="E18" t="s">
        <v>9</v>
      </c>
      <c r="F18" t="s">
        <v>156</v>
      </c>
      <c r="G18">
        <v>2</v>
      </c>
      <c r="H18">
        <v>2</v>
      </c>
      <c r="I18">
        <v>0</v>
      </c>
      <c r="J18">
        <v>1</v>
      </c>
      <c r="K18" t="s">
        <v>68</v>
      </c>
      <c r="L18" s="18">
        <v>0.44583333333333336</v>
      </c>
      <c r="M18" t="s">
        <v>68</v>
      </c>
      <c r="N18" s="18">
        <v>0.47916666666666669</v>
      </c>
      <c r="O18" t="s">
        <v>11</v>
      </c>
      <c r="P18" t="s">
        <v>14</v>
      </c>
      <c r="Q18" t="s">
        <v>13</v>
      </c>
      <c r="T18" s="18">
        <v>0</v>
      </c>
      <c r="W18" s="19">
        <v>0</v>
      </c>
      <c r="Y18">
        <v>0</v>
      </c>
      <c r="Z18">
        <v>0</v>
      </c>
      <c r="AA18">
        <v>1</v>
      </c>
      <c r="AB18" t="s">
        <v>20</v>
      </c>
      <c r="AC18">
        <v>18</v>
      </c>
    </row>
    <row r="19" spans="1:29" x14ac:dyDescent="0.25">
      <c r="A19">
        <v>132960530</v>
      </c>
      <c r="B19">
        <v>2031237723</v>
      </c>
      <c r="C19">
        <v>30</v>
      </c>
      <c r="E19" t="s">
        <v>9</v>
      </c>
      <c r="F19" t="s">
        <v>157</v>
      </c>
      <c r="G19">
        <v>2</v>
      </c>
      <c r="H19">
        <v>4</v>
      </c>
      <c r="I19">
        <v>0</v>
      </c>
      <c r="J19">
        <v>2</v>
      </c>
      <c r="K19" t="s">
        <v>66</v>
      </c>
      <c r="L19" s="18">
        <v>0.4375</v>
      </c>
      <c r="M19" t="s">
        <v>66</v>
      </c>
      <c r="N19" s="18">
        <v>0.54583333333333328</v>
      </c>
      <c r="O19" t="s">
        <v>11</v>
      </c>
      <c r="P19" t="s">
        <v>14</v>
      </c>
      <c r="Q19" t="s">
        <v>13</v>
      </c>
      <c r="T19" s="18">
        <v>0</v>
      </c>
      <c r="W19" s="19">
        <v>0</v>
      </c>
      <c r="Y19">
        <v>0</v>
      </c>
      <c r="Z19">
        <v>0</v>
      </c>
      <c r="AA19">
        <v>1</v>
      </c>
      <c r="AB19" t="s">
        <v>20</v>
      </c>
      <c r="AC19">
        <v>18</v>
      </c>
    </row>
    <row r="20" spans="1:29" x14ac:dyDescent="0.25">
      <c r="A20">
        <v>132960534</v>
      </c>
      <c r="B20">
        <v>2031237723</v>
      </c>
      <c r="C20">
        <v>60</v>
      </c>
      <c r="E20" t="s">
        <v>9</v>
      </c>
      <c r="F20" t="s">
        <v>158</v>
      </c>
      <c r="G20">
        <v>2</v>
      </c>
      <c r="H20">
        <v>4</v>
      </c>
      <c r="I20">
        <v>0</v>
      </c>
      <c r="J20">
        <v>2</v>
      </c>
      <c r="K20" t="s">
        <v>77</v>
      </c>
      <c r="L20" s="18">
        <v>0.42916666666666664</v>
      </c>
      <c r="M20" t="s">
        <v>77</v>
      </c>
      <c r="N20" s="18">
        <v>0.49583333333333335</v>
      </c>
      <c r="O20" t="s">
        <v>11</v>
      </c>
      <c r="P20" t="s">
        <v>14</v>
      </c>
      <c r="Q20" t="s">
        <v>13</v>
      </c>
      <c r="T20" s="18">
        <v>0</v>
      </c>
      <c r="W20" s="19">
        <v>0</v>
      </c>
      <c r="Y20">
        <v>0</v>
      </c>
      <c r="Z20">
        <v>0</v>
      </c>
      <c r="AA20">
        <v>1</v>
      </c>
      <c r="AB20" t="s">
        <v>20</v>
      </c>
      <c r="AC20">
        <v>18</v>
      </c>
    </row>
    <row r="21" spans="1:29" x14ac:dyDescent="0.25">
      <c r="A21">
        <v>132960535</v>
      </c>
      <c r="B21">
        <v>2031237723</v>
      </c>
      <c r="C21">
        <v>70</v>
      </c>
      <c r="E21" t="s">
        <v>9</v>
      </c>
      <c r="F21" t="s">
        <v>159</v>
      </c>
      <c r="G21">
        <v>1</v>
      </c>
      <c r="H21">
        <v>0.2</v>
      </c>
      <c r="I21">
        <v>0</v>
      </c>
      <c r="J21">
        <v>0.2</v>
      </c>
      <c r="K21" t="s">
        <v>77</v>
      </c>
      <c r="L21" s="18">
        <v>0.49583333333333335</v>
      </c>
      <c r="M21" t="s">
        <v>77</v>
      </c>
      <c r="N21" s="18">
        <v>0.54416666666666669</v>
      </c>
      <c r="O21" t="s">
        <v>11</v>
      </c>
      <c r="P21" t="s">
        <v>14</v>
      </c>
      <c r="Q21" t="s">
        <v>13</v>
      </c>
      <c r="T21" s="18">
        <v>0</v>
      </c>
      <c r="W21" s="19">
        <v>0</v>
      </c>
      <c r="Y21">
        <v>0</v>
      </c>
      <c r="Z21">
        <v>0</v>
      </c>
      <c r="AA21">
        <v>1</v>
      </c>
      <c r="AB21" t="s">
        <v>20</v>
      </c>
      <c r="AC21">
        <v>18</v>
      </c>
    </row>
    <row r="22" spans="1:29" x14ac:dyDescent="0.25">
      <c r="A22">
        <v>133125989</v>
      </c>
      <c r="B22">
        <v>2031265724</v>
      </c>
      <c r="C22">
        <v>10</v>
      </c>
      <c r="E22" t="s">
        <v>9</v>
      </c>
      <c r="F22" t="s">
        <v>173</v>
      </c>
      <c r="G22">
        <v>2</v>
      </c>
      <c r="H22">
        <v>2</v>
      </c>
      <c r="I22">
        <v>0</v>
      </c>
      <c r="J22">
        <v>1</v>
      </c>
      <c r="K22" t="s">
        <v>68</v>
      </c>
      <c r="L22" s="18">
        <v>0.72083333333333333</v>
      </c>
      <c r="M22" t="s">
        <v>74</v>
      </c>
      <c r="N22" s="18">
        <v>0.33750000000000002</v>
      </c>
      <c r="O22" t="s">
        <v>41</v>
      </c>
      <c r="P22" t="s">
        <v>14</v>
      </c>
      <c r="Q22" t="s">
        <v>13</v>
      </c>
      <c r="T22" s="18">
        <v>0</v>
      </c>
      <c r="W22" s="18">
        <v>0</v>
      </c>
      <c r="Y22">
        <v>0</v>
      </c>
      <c r="Z22">
        <v>0</v>
      </c>
      <c r="AA22">
        <v>1</v>
      </c>
      <c r="AB22" t="s">
        <v>20</v>
      </c>
      <c r="AC22">
        <v>14</v>
      </c>
    </row>
    <row r="23" spans="1:29" x14ac:dyDescent="0.25">
      <c r="A23">
        <v>133503862</v>
      </c>
      <c r="B23">
        <v>2031265724</v>
      </c>
      <c r="C23">
        <v>20</v>
      </c>
      <c r="E23" t="s">
        <v>9</v>
      </c>
      <c r="F23" t="s">
        <v>174</v>
      </c>
      <c r="G23">
        <v>2</v>
      </c>
      <c r="H23">
        <v>4</v>
      </c>
      <c r="I23">
        <v>0</v>
      </c>
      <c r="J23">
        <v>2</v>
      </c>
      <c r="K23" t="s">
        <v>77</v>
      </c>
      <c r="L23" s="18">
        <v>0.54416666666666669</v>
      </c>
      <c r="M23" t="s">
        <v>77</v>
      </c>
      <c r="N23" s="18">
        <v>0.61083333333333334</v>
      </c>
      <c r="O23" t="s">
        <v>41</v>
      </c>
      <c r="P23" t="s">
        <v>14</v>
      </c>
      <c r="Q23" t="s">
        <v>13</v>
      </c>
      <c r="T23" s="18">
        <v>0</v>
      </c>
      <c r="W23" s="18">
        <v>0</v>
      </c>
      <c r="Y23">
        <v>0</v>
      </c>
      <c r="Z23">
        <v>0</v>
      </c>
      <c r="AA23">
        <v>1</v>
      </c>
      <c r="AB23" t="s">
        <v>20</v>
      </c>
      <c r="AC23">
        <v>14</v>
      </c>
    </row>
    <row r="24" spans="1:29" x14ac:dyDescent="0.25">
      <c r="A24">
        <v>134620038</v>
      </c>
      <c r="B24">
        <v>2031324298</v>
      </c>
      <c r="C24">
        <v>320</v>
      </c>
      <c r="E24" t="s">
        <v>9</v>
      </c>
      <c r="F24" t="s">
        <v>178</v>
      </c>
      <c r="G24">
        <v>2</v>
      </c>
      <c r="H24">
        <v>6</v>
      </c>
      <c r="I24">
        <v>0</v>
      </c>
      <c r="J24">
        <v>3</v>
      </c>
      <c r="K24" t="s">
        <v>68</v>
      </c>
      <c r="L24" s="18">
        <v>0.34583333333333333</v>
      </c>
      <c r="M24" t="s">
        <v>68</v>
      </c>
      <c r="N24" s="18">
        <v>0.44583333333333336</v>
      </c>
      <c r="O24" t="s">
        <v>11</v>
      </c>
      <c r="P24" t="s">
        <v>14</v>
      </c>
      <c r="Q24" t="s">
        <v>13</v>
      </c>
      <c r="T24" s="18">
        <v>0</v>
      </c>
      <c r="W24" s="18">
        <v>0</v>
      </c>
      <c r="Y24">
        <v>0</v>
      </c>
      <c r="Z24">
        <v>0</v>
      </c>
      <c r="AA24">
        <v>2</v>
      </c>
      <c r="AB24" t="s">
        <v>43</v>
      </c>
      <c r="AC24">
        <v>14</v>
      </c>
    </row>
    <row r="25" spans="1:29" x14ac:dyDescent="0.25">
      <c r="A25">
        <v>134620039</v>
      </c>
      <c r="B25">
        <v>2031324298</v>
      </c>
      <c r="C25">
        <v>330</v>
      </c>
      <c r="E25" t="s">
        <v>9</v>
      </c>
      <c r="F25" t="s">
        <v>179</v>
      </c>
      <c r="G25">
        <v>2</v>
      </c>
      <c r="H25">
        <v>2</v>
      </c>
      <c r="I25">
        <v>0</v>
      </c>
      <c r="J25">
        <v>1</v>
      </c>
      <c r="K25" t="s">
        <v>68</v>
      </c>
      <c r="L25" s="18">
        <v>0.41249999999999998</v>
      </c>
      <c r="M25" t="s">
        <v>68</v>
      </c>
      <c r="N25" s="18">
        <v>0.44583333333333336</v>
      </c>
      <c r="O25" t="s">
        <v>11</v>
      </c>
      <c r="P25" t="s">
        <v>14</v>
      </c>
      <c r="Q25" t="s">
        <v>13</v>
      </c>
      <c r="T25" s="18">
        <v>0</v>
      </c>
      <c r="W25" s="18">
        <v>0</v>
      </c>
      <c r="Y25">
        <v>0</v>
      </c>
      <c r="Z25">
        <v>0</v>
      </c>
      <c r="AA25">
        <v>2</v>
      </c>
      <c r="AB25" t="s">
        <v>43</v>
      </c>
      <c r="AC25">
        <v>14</v>
      </c>
    </row>
    <row r="26" spans="1:29" x14ac:dyDescent="0.25">
      <c r="A26">
        <v>134620042</v>
      </c>
      <c r="B26">
        <v>2031324298</v>
      </c>
      <c r="C26">
        <v>360</v>
      </c>
      <c r="E26" t="s">
        <v>9</v>
      </c>
      <c r="F26" t="s">
        <v>180</v>
      </c>
      <c r="G26">
        <v>2</v>
      </c>
      <c r="H26">
        <v>8</v>
      </c>
      <c r="I26">
        <v>0</v>
      </c>
      <c r="J26">
        <v>4</v>
      </c>
      <c r="K26" t="s">
        <v>68</v>
      </c>
      <c r="L26" s="18">
        <v>0.62083333333333335</v>
      </c>
      <c r="M26" t="s">
        <v>74</v>
      </c>
      <c r="N26" s="18">
        <v>0.33750000000000002</v>
      </c>
      <c r="O26" t="s">
        <v>11</v>
      </c>
      <c r="P26" t="s">
        <v>14</v>
      </c>
      <c r="Q26" t="s">
        <v>13</v>
      </c>
      <c r="T26" s="18">
        <v>0</v>
      </c>
      <c r="W26" s="18">
        <v>0</v>
      </c>
      <c r="Y26">
        <v>0</v>
      </c>
      <c r="Z26">
        <v>0</v>
      </c>
      <c r="AA26">
        <v>2</v>
      </c>
      <c r="AB26" t="s">
        <v>43</v>
      </c>
      <c r="AC26">
        <v>14</v>
      </c>
    </row>
    <row r="27" spans="1:29" x14ac:dyDescent="0.25">
      <c r="A27">
        <v>134045234</v>
      </c>
      <c r="B27">
        <v>2031380216</v>
      </c>
      <c r="C27">
        <v>20</v>
      </c>
      <c r="E27" t="s">
        <v>9</v>
      </c>
      <c r="F27" t="s">
        <v>182</v>
      </c>
      <c r="G27">
        <v>2</v>
      </c>
      <c r="H27">
        <v>4</v>
      </c>
      <c r="I27">
        <v>0</v>
      </c>
      <c r="J27">
        <v>2</v>
      </c>
      <c r="K27" t="s">
        <v>77</v>
      </c>
      <c r="L27" s="18">
        <v>0.35416666666666669</v>
      </c>
      <c r="M27" t="s">
        <v>77</v>
      </c>
      <c r="N27" s="18">
        <v>0.42083333333333334</v>
      </c>
      <c r="O27" t="s">
        <v>11</v>
      </c>
      <c r="P27" t="s">
        <v>14</v>
      </c>
      <c r="Q27" t="s">
        <v>13</v>
      </c>
      <c r="T27" s="18">
        <v>0</v>
      </c>
      <c r="W27" s="18">
        <v>0</v>
      </c>
      <c r="Y27">
        <v>0</v>
      </c>
      <c r="Z27">
        <v>0</v>
      </c>
      <c r="AA27">
        <v>1</v>
      </c>
      <c r="AB27" t="s">
        <v>20</v>
      </c>
      <c r="AC27">
        <v>18</v>
      </c>
    </row>
    <row r="28" spans="1:29" x14ac:dyDescent="0.25">
      <c r="A28">
        <v>134012058</v>
      </c>
      <c r="B28">
        <v>2031382917</v>
      </c>
      <c r="C28">
        <v>60</v>
      </c>
      <c r="E28" t="s">
        <v>9</v>
      </c>
      <c r="F28" t="s">
        <v>183</v>
      </c>
      <c r="G28">
        <v>1</v>
      </c>
      <c r="H28">
        <v>0.2</v>
      </c>
      <c r="I28">
        <v>0</v>
      </c>
      <c r="J28">
        <v>0.2</v>
      </c>
      <c r="K28" t="s">
        <v>74</v>
      </c>
      <c r="L28" s="18">
        <v>0.45416666666666666</v>
      </c>
      <c r="M28" t="s">
        <v>74</v>
      </c>
      <c r="N28" s="18">
        <v>0.46083333333333332</v>
      </c>
      <c r="O28" t="s">
        <v>41</v>
      </c>
      <c r="P28" t="s">
        <v>14</v>
      </c>
      <c r="Q28" t="s">
        <v>13</v>
      </c>
      <c r="T28" s="18">
        <v>0</v>
      </c>
      <c r="W28" s="18">
        <v>0</v>
      </c>
      <c r="Y28">
        <v>0</v>
      </c>
      <c r="Z28">
        <v>0</v>
      </c>
      <c r="AA28">
        <v>2</v>
      </c>
      <c r="AB28" t="s">
        <v>20</v>
      </c>
      <c r="AC28">
        <v>18</v>
      </c>
    </row>
    <row r="29" spans="1:29" x14ac:dyDescent="0.25">
      <c r="A29">
        <v>133975799</v>
      </c>
      <c r="B29">
        <v>2031412678</v>
      </c>
      <c r="C29">
        <v>10</v>
      </c>
      <c r="E29" t="s">
        <v>9</v>
      </c>
      <c r="F29" t="s">
        <v>184</v>
      </c>
      <c r="G29">
        <v>2</v>
      </c>
      <c r="H29">
        <v>4</v>
      </c>
      <c r="I29">
        <v>0</v>
      </c>
      <c r="J29">
        <v>2</v>
      </c>
      <c r="K29" t="s">
        <v>66</v>
      </c>
      <c r="L29" s="18">
        <v>0.57250000000000001</v>
      </c>
      <c r="M29" t="s">
        <v>66</v>
      </c>
      <c r="N29" s="18">
        <v>0.63916666666666666</v>
      </c>
      <c r="O29" t="s">
        <v>11</v>
      </c>
      <c r="P29" t="s">
        <v>14</v>
      </c>
      <c r="Q29" t="s">
        <v>13</v>
      </c>
      <c r="T29" s="18">
        <v>0</v>
      </c>
      <c r="W29" s="18">
        <v>0</v>
      </c>
      <c r="Y29">
        <v>0</v>
      </c>
      <c r="Z29">
        <v>0</v>
      </c>
      <c r="AA29">
        <v>1</v>
      </c>
      <c r="AB29" t="s">
        <v>20</v>
      </c>
      <c r="AC29">
        <v>18</v>
      </c>
    </row>
    <row r="30" spans="1:29" x14ac:dyDescent="0.25">
      <c r="A30">
        <v>134045390</v>
      </c>
      <c r="B30">
        <v>2031412678</v>
      </c>
      <c r="C30">
        <v>30</v>
      </c>
      <c r="E30" t="s">
        <v>9</v>
      </c>
      <c r="F30" t="s">
        <v>185</v>
      </c>
      <c r="G30">
        <v>1</v>
      </c>
      <c r="H30">
        <v>0.2</v>
      </c>
      <c r="I30">
        <v>0</v>
      </c>
      <c r="J30">
        <v>0.2</v>
      </c>
      <c r="K30" t="s">
        <v>77</v>
      </c>
      <c r="L30" s="18">
        <v>0.32250000000000001</v>
      </c>
      <c r="M30" t="s">
        <v>77</v>
      </c>
      <c r="N30" s="18">
        <v>0.32916666666666666</v>
      </c>
      <c r="O30" t="s">
        <v>11</v>
      </c>
      <c r="P30" t="s">
        <v>14</v>
      </c>
      <c r="Q30" t="s">
        <v>13</v>
      </c>
      <c r="T30" s="18">
        <v>0</v>
      </c>
      <c r="W30" s="18">
        <v>0</v>
      </c>
      <c r="Y30">
        <v>0</v>
      </c>
      <c r="Z30">
        <v>0</v>
      </c>
      <c r="AA30">
        <v>1</v>
      </c>
      <c r="AB30" t="s">
        <v>20</v>
      </c>
      <c r="AC30">
        <v>18</v>
      </c>
    </row>
    <row r="31" spans="1:29" x14ac:dyDescent="0.25">
      <c r="A31">
        <v>134487375</v>
      </c>
      <c r="B31">
        <v>2031497081</v>
      </c>
      <c r="C31">
        <v>20</v>
      </c>
      <c r="E31" t="s">
        <v>9</v>
      </c>
      <c r="F31" t="s">
        <v>192</v>
      </c>
      <c r="G31">
        <v>2</v>
      </c>
      <c r="H31">
        <v>2</v>
      </c>
      <c r="I31">
        <v>0</v>
      </c>
      <c r="J31">
        <v>1</v>
      </c>
      <c r="K31" t="s">
        <v>68</v>
      </c>
      <c r="L31" s="18">
        <v>0.67083333333333328</v>
      </c>
      <c r="M31" t="s">
        <v>68</v>
      </c>
      <c r="N31" s="18">
        <v>0.70416666666666672</v>
      </c>
      <c r="O31" t="s">
        <v>11</v>
      </c>
      <c r="P31" t="s">
        <v>14</v>
      </c>
      <c r="Q31" t="s">
        <v>13</v>
      </c>
      <c r="T31" s="18">
        <v>0</v>
      </c>
      <c r="W31" s="18">
        <v>0</v>
      </c>
      <c r="Y31">
        <v>0</v>
      </c>
      <c r="Z31">
        <v>0</v>
      </c>
      <c r="AA31">
        <v>1</v>
      </c>
      <c r="AB31" t="s">
        <v>20</v>
      </c>
      <c r="AC31">
        <v>18</v>
      </c>
    </row>
    <row r="32" spans="1:29" x14ac:dyDescent="0.25">
      <c r="A32">
        <v>134487380</v>
      </c>
      <c r="B32">
        <v>2031497081</v>
      </c>
      <c r="C32">
        <v>60</v>
      </c>
      <c r="E32" t="s">
        <v>9</v>
      </c>
      <c r="F32" t="s">
        <v>193</v>
      </c>
      <c r="G32">
        <v>2</v>
      </c>
      <c r="H32">
        <v>2</v>
      </c>
      <c r="I32">
        <v>0</v>
      </c>
      <c r="J32">
        <v>1</v>
      </c>
      <c r="K32" t="s">
        <v>74</v>
      </c>
      <c r="L32" s="18">
        <v>0.48749999999999999</v>
      </c>
      <c r="M32" t="s">
        <v>74</v>
      </c>
      <c r="N32" s="18">
        <v>0.5625</v>
      </c>
      <c r="O32" t="s">
        <v>11</v>
      </c>
      <c r="P32" t="s">
        <v>14</v>
      </c>
      <c r="Q32" t="s">
        <v>13</v>
      </c>
      <c r="T32" s="18">
        <v>0</v>
      </c>
      <c r="W32" s="18">
        <v>0</v>
      </c>
      <c r="Y32">
        <v>0</v>
      </c>
      <c r="Z32">
        <v>0</v>
      </c>
      <c r="AA32">
        <v>1</v>
      </c>
      <c r="AB32" t="s">
        <v>20</v>
      </c>
      <c r="AC32">
        <v>18</v>
      </c>
    </row>
    <row r="33" spans="1:29" x14ac:dyDescent="0.25">
      <c r="A33">
        <v>134487381</v>
      </c>
      <c r="B33">
        <v>2031497081</v>
      </c>
      <c r="C33">
        <v>70</v>
      </c>
      <c r="E33" t="s">
        <v>9</v>
      </c>
      <c r="F33" t="s">
        <v>194</v>
      </c>
      <c r="G33">
        <v>1</v>
      </c>
      <c r="H33">
        <v>0.2</v>
      </c>
      <c r="I33">
        <v>0</v>
      </c>
      <c r="J33">
        <v>0.2</v>
      </c>
      <c r="K33" t="s">
        <v>74</v>
      </c>
      <c r="L33" s="18">
        <v>0.5625</v>
      </c>
      <c r="M33" t="s">
        <v>74</v>
      </c>
      <c r="N33" s="18">
        <v>0.56916666666666671</v>
      </c>
      <c r="O33" t="s">
        <v>11</v>
      </c>
      <c r="P33" t="s">
        <v>14</v>
      </c>
      <c r="Q33" t="s">
        <v>13</v>
      </c>
      <c r="T33" s="18">
        <v>0</v>
      </c>
      <c r="W33" s="18">
        <v>0</v>
      </c>
      <c r="Y33">
        <v>0</v>
      </c>
      <c r="Z33">
        <v>0</v>
      </c>
      <c r="AA33">
        <v>1</v>
      </c>
      <c r="AB33" t="s">
        <v>20</v>
      </c>
      <c r="AC33">
        <v>18</v>
      </c>
    </row>
    <row r="34" spans="1:29" x14ac:dyDescent="0.25">
      <c r="A34">
        <v>134565416</v>
      </c>
      <c r="B34">
        <v>2031508728</v>
      </c>
      <c r="C34">
        <v>20</v>
      </c>
      <c r="E34" t="s">
        <v>9</v>
      </c>
      <c r="F34" t="s">
        <v>195</v>
      </c>
      <c r="G34">
        <v>2</v>
      </c>
      <c r="H34">
        <v>4</v>
      </c>
      <c r="I34">
        <v>0</v>
      </c>
      <c r="J34">
        <v>2</v>
      </c>
      <c r="K34" t="s">
        <v>68</v>
      </c>
      <c r="L34" s="18">
        <v>0.47916666666666669</v>
      </c>
      <c r="M34" t="s">
        <v>68</v>
      </c>
      <c r="N34" s="18">
        <v>0.60416666666666663</v>
      </c>
      <c r="O34" t="s">
        <v>11</v>
      </c>
      <c r="P34" t="s">
        <v>14</v>
      </c>
      <c r="Q34" t="s">
        <v>13</v>
      </c>
      <c r="T34" s="18">
        <v>0</v>
      </c>
      <c r="W34" s="18">
        <v>0</v>
      </c>
      <c r="Y34">
        <v>0</v>
      </c>
      <c r="Z34">
        <v>0</v>
      </c>
      <c r="AA34">
        <v>1</v>
      </c>
      <c r="AB34" t="s">
        <v>20</v>
      </c>
      <c r="AC34">
        <v>18</v>
      </c>
    </row>
    <row r="35" spans="1:29" x14ac:dyDescent="0.25">
      <c r="A35">
        <v>134565417</v>
      </c>
      <c r="B35">
        <v>2031508728</v>
      </c>
      <c r="C35">
        <v>30</v>
      </c>
      <c r="E35" t="s">
        <v>9</v>
      </c>
      <c r="F35" t="s">
        <v>196</v>
      </c>
      <c r="G35">
        <v>2</v>
      </c>
      <c r="H35">
        <v>2</v>
      </c>
      <c r="I35">
        <v>0</v>
      </c>
      <c r="J35">
        <v>1</v>
      </c>
      <c r="K35" t="s">
        <v>68</v>
      </c>
      <c r="L35" s="18">
        <v>0.60416666666666663</v>
      </c>
      <c r="M35" t="s">
        <v>68</v>
      </c>
      <c r="N35" s="18">
        <v>0.64583333333333337</v>
      </c>
      <c r="O35" t="s">
        <v>197</v>
      </c>
      <c r="P35" t="s">
        <v>14</v>
      </c>
      <c r="Q35" t="s">
        <v>13</v>
      </c>
      <c r="T35" s="18">
        <v>0</v>
      </c>
      <c r="W35" s="18">
        <v>0</v>
      </c>
      <c r="Y35">
        <v>0</v>
      </c>
      <c r="Z35">
        <v>0</v>
      </c>
      <c r="AA35">
        <v>1</v>
      </c>
      <c r="AB35" t="s">
        <v>20</v>
      </c>
      <c r="AC35">
        <v>18</v>
      </c>
    </row>
    <row r="36" spans="1:29" x14ac:dyDescent="0.25">
      <c r="A36">
        <v>134567981</v>
      </c>
      <c r="B36">
        <v>2031508728</v>
      </c>
      <c r="C36">
        <v>70</v>
      </c>
      <c r="E36" t="s">
        <v>9</v>
      </c>
      <c r="F36" t="s">
        <v>198</v>
      </c>
      <c r="G36">
        <v>2</v>
      </c>
      <c r="H36">
        <v>4</v>
      </c>
      <c r="I36">
        <v>0</v>
      </c>
      <c r="J36">
        <v>2</v>
      </c>
      <c r="K36" t="s">
        <v>74</v>
      </c>
      <c r="L36" s="18">
        <v>0.60416666666666663</v>
      </c>
      <c r="M36" t="s">
        <v>74</v>
      </c>
      <c r="N36" s="18">
        <v>0.6875</v>
      </c>
      <c r="O36" t="s">
        <v>197</v>
      </c>
      <c r="P36" t="s">
        <v>14</v>
      </c>
      <c r="Q36" t="s">
        <v>13</v>
      </c>
      <c r="T36" s="18">
        <v>0</v>
      </c>
      <c r="W36" s="18">
        <v>0</v>
      </c>
      <c r="Y36">
        <v>0</v>
      </c>
      <c r="Z36">
        <v>0</v>
      </c>
      <c r="AA36">
        <v>1</v>
      </c>
      <c r="AB36" t="s">
        <v>20</v>
      </c>
      <c r="AC36">
        <v>18</v>
      </c>
    </row>
    <row r="37" spans="1:29" x14ac:dyDescent="0.25">
      <c r="A37">
        <v>134619160</v>
      </c>
      <c r="B37">
        <v>2031520505</v>
      </c>
      <c r="C37">
        <v>10</v>
      </c>
      <c r="E37" t="s">
        <v>9</v>
      </c>
      <c r="F37" t="s">
        <v>208</v>
      </c>
      <c r="G37">
        <v>2</v>
      </c>
      <c r="H37">
        <v>6</v>
      </c>
      <c r="I37">
        <v>0</v>
      </c>
      <c r="J37">
        <v>3</v>
      </c>
      <c r="K37" t="s">
        <v>68</v>
      </c>
      <c r="L37" s="18">
        <v>0.39583333333333331</v>
      </c>
      <c r="M37" t="s">
        <v>68</v>
      </c>
      <c r="N37" s="18">
        <v>0.5625</v>
      </c>
      <c r="O37" t="s">
        <v>11</v>
      </c>
      <c r="P37" t="s">
        <v>14</v>
      </c>
      <c r="Q37" t="s">
        <v>13</v>
      </c>
      <c r="T37" s="18">
        <v>0</v>
      </c>
      <c r="W37" s="19">
        <v>1</v>
      </c>
      <c r="X37" t="s">
        <v>24</v>
      </c>
      <c r="Y37">
        <v>0</v>
      </c>
      <c r="Z37">
        <v>0</v>
      </c>
      <c r="AB37" t="s">
        <v>20</v>
      </c>
      <c r="AC37">
        <v>18</v>
      </c>
    </row>
    <row r="38" spans="1:29" x14ac:dyDescent="0.25">
      <c r="A38">
        <v>134619165</v>
      </c>
      <c r="B38">
        <v>2031520505</v>
      </c>
      <c r="C38">
        <v>40</v>
      </c>
      <c r="E38" t="s">
        <v>9</v>
      </c>
      <c r="F38" t="s">
        <v>209</v>
      </c>
      <c r="G38">
        <v>2</v>
      </c>
      <c r="H38">
        <v>6</v>
      </c>
      <c r="I38">
        <v>0</v>
      </c>
      <c r="J38">
        <v>3</v>
      </c>
      <c r="K38" t="s">
        <v>74</v>
      </c>
      <c r="L38" s="18">
        <v>0.35416666666666669</v>
      </c>
      <c r="M38" t="s">
        <v>74</v>
      </c>
      <c r="N38" s="18">
        <v>0.47916666666666669</v>
      </c>
      <c r="O38" t="s">
        <v>11</v>
      </c>
      <c r="P38" t="s">
        <v>14</v>
      </c>
      <c r="Q38" t="s">
        <v>13</v>
      </c>
      <c r="T38" s="18">
        <v>0</v>
      </c>
      <c r="W38" s="19">
        <v>1</v>
      </c>
      <c r="X38" t="s">
        <v>24</v>
      </c>
      <c r="Y38">
        <v>0</v>
      </c>
      <c r="Z38">
        <v>0</v>
      </c>
      <c r="AB38" t="s">
        <v>20</v>
      </c>
      <c r="AC38">
        <v>18</v>
      </c>
    </row>
    <row r="39" spans="1:29" x14ac:dyDescent="0.25">
      <c r="A39">
        <v>134617984</v>
      </c>
      <c r="B39">
        <v>2031520505</v>
      </c>
      <c r="C39">
        <v>140</v>
      </c>
      <c r="E39" t="s">
        <v>9</v>
      </c>
      <c r="F39" t="s">
        <v>210</v>
      </c>
      <c r="G39">
        <v>1</v>
      </c>
      <c r="H39">
        <v>0.2</v>
      </c>
      <c r="I39">
        <v>0</v>
      </c>
      <c r="J39">
        <v>0.2</v>
      </c>
      <c r="K39" t="s">
        <v>65</v>
      </c>
      <c r="L39" s="18">
        <v>0.46250000000000002</v>
      </c>
      <c r="M39" t="s">
        <v>65</v>
      </c>
      <c r="N39" s="18">
        <v>0.47083333333333333</v>
      </c>
      <c r="O39" t="s">
        <v>11</v>
      </c>
      <c r="P39" t="s">
        <v>14</v>
      </c>
      <c r="Q39" t="s">
        <v>13</v>
      </c>
      <c r="T39" s="18">
        <v>0</v>
      </c>
      <c r="W39" s="18">
        <v>0</v>
      </c>
      <c r="Y39">
        <v>0</v>
      </c>
      <c r="Z39">
        <v>0</v>
      </c>
      <c r="AB39" t="s">
        <v>20</v>
      </c>
      <c r="AC39">
        <v>18</v>
      </c>
    </row>
    <row r="40" spans="1:29" x14ac:dyDescent="0.25">
      <c r="A40">
        <v>134619920</v>
      </c>
      <c r="B40">
        <v>2031520830</v>
      </c>
      <c r="C40">
        <v>10</v>
      </c>
      <c r="E40" t="s">
        <v>9</v>
      </c>
      <c r="F40" t="s">
        <v>211</v>
      </c>
      <c r="G40">
        <v>2</v>
      </c>
      <c r="H40">
        <v>6</v>
      </c>
      <c r="I40">
        <v>0</v>
      </c>
      <c r="J40">
        <v>3</v>
      </c>
      <c r="K40" t="s">
        <v>68</v>
      </c>
      <c r="L40" s="18">
        <v>0.39583333333333331</v>
      </c>
      <c r="M40" t="s">
        <v>68</v>
      </c>
      <c r="N40" s="18">
        <v>0.5625</v>
      </c>
      <c r="O40" t="s">
        <v>11</v>
      </c>
      <c r="P40" t="s">
        <v>14</v>
      </c>
      <c r="Q40" t="s">
        <v>13</v>
      </c>
      <c r="T40" s="18">
        <v>0</v>
      </c>
      <c r="W40" s="19">
        <v>1</v>
      </c>
      <c r="X40" t="s">
        <v>24</v>
      </c>
      <c r="Y40">
        <v>0</v>
      </c>
      <c r="Z40">
        <v>0</v>
      </c>
      <c r="AB40" t="s">
        <v>20</v>
      </c>
      <c r="AC40">
        <v>18</v>
      </c>
    </row>
    <row r="41" spans="1:29" x14ac:dyDescent="0.25">
      <c r="A41">
        <v>134619944</v>
      </c>
      <c r="B41">
        <v>2031520833</v>
      </c>
      <c r="C41">
        <v>10</v>
      </c>
      <c r="E41" t="s">
        <v>9</v>
      </c>
      <c r="F41" t="s">
        <v>212</v>
      </c>
      <c r="G41">
        <v>2</v>
      </c>
      <c r="H41">
        <v>2</v>
      </c>
      <c r="I41">
        <v>0</v>
      </c>
      <c r="J41">
        <v>1</v>
      </c>
      <c r="K41" t="s">
        <v>68</v>
      </c>
      <c r="L41" s="18">
        <v>0.39583333333333331</v>
      </c>
      <c r="M41" t="s">
        <v>68</v>
      </c>
      <c r="N41" s="18">
        <v>0.4375</v>
      </c>
      <c r="O41" t="s">
        <v>11</v>
      </c>
      <c r="P41" t="s">
        <v>14</v>
      </c>
      <c r="Q41" t="s">
        <v>13</v>
      </c>
      <c r="T41" s="18">
        <v>0</v>
      </c>
      <c r="W41" s="19">
        <v>1</v>
      </c>
      <c r="X41" t="s">
        <v>24</v>
      </c>
      <c r="Y41">
        <v>0</v>
      </c>
      <c r="Z41">
        <v>0</v>
      </c>
      <c r="AB41" t="s">
        <v>20</v>
      </c>
      <c r="AC41">
        <v>18</v>
      </c>
    </row>
    <row r="42" spans="1:29" x14ac:dyDescent="0.25">
      <c r="L42" s="18"/>
      <c r="N42" s="18"/>
      <c r="T42" s="18"/>
      <c r="W42" s="18"/>
    </row>
    <row r="43" spans="1:29" x14ac:dyDescent="0.25">
      <c r="L43" s="18"/>
      <c r="N43" s="18"/>
      <c r="T43" s="18"/>
      <c r="W43" s="18"/>
    </row>
    <row r="44" spans="1:29" x14ac:dyDescent="0.25">
      <c r="L44" s="18"/>
      <c r="N44" s="18"/>
      <c r="T44" s="18"/>
      <c r="W44" s="18"/>
    </row>
    <row r="45" spans="1:29" x14ac:dyDescent="0.25">
      <c r="L45" s="18"/>
      <c r="N45" s="18"/>
      <c r="T45" s="18"/>
      <c r="W45" s="18"/>
    </row>
    <row r="46" spans="1:29" x14ac:dyDescent="0.25">
      <c r="L46" s="18"/>
      <c r="N46" s="18"/>
      <c r="T46" s="18"/>
      <c r="W46" s="18"/>
    </row>
    <row r="47" spans="1:29" x14ac:dyDescent="0.25">
      <c r="L47" s="18"/>
      <c r="N47" s="18"/>
      <c r="T47" s="18"/>
      <c r="W47" s="18"/>
    </row>
    <row r="48" spans="1:29" x14ac:dyDescent="0.25">
      <c r="L48" s="18"/>
      <c r="N48" s="18"/>
      <c r="T48" s="18"/>
      <c r="W48" s="18"/>
    </row>
    <row r="49" spans="12:23" x14ac:dyDescent="0.25">
      <c r="L49" s="18"/>
      <c r="N49" s="18"/>
      <c r="T49" s="18"/>
      <c r="W49" s="18"/>
    </row>
    <row r="50" spans="12:23" x14ac:dyDescent="0.25">
      <c r="L50" s="18"/>
      <c r="N50" s="18"/>
      <c r="T50" s="18"/>
      <c r="W50" s="18"/>
    </row>
    <row r="51" spans="12:23" x14ac:dyDescent="0.25">
      <c r="L51" s="18"/>
      <c r="N51" s="18"/>
      <c r="T51" s="18"/>
      <c r="W51" s="19"/>
    </row>
    <row r="52" spans="12:23" x14ac:dyDescent="0.25">
      <c r="L52" s="18"/>
      <c r="N52" s="18"/>
      <c r="T52" s="18"/>
      <c r="W52" s="18"/>
    </row>
    <row r="53" spans="12:23" x14ac:dyDescent="0.25">
      <c r="L53" s="18"/>
      <c r="N53" s="18"/>
      <c r="T53" s="18"/>
      <c r="W53" s="19"/>
    </row>
    <row r="54" spans="12:23" x14ac:dyDescent="0.25">
      <c r="L54" s="18"/>
      <c r="N54" s="18"/>
      <c r="T54" s="18"/>
      <c r="W54" s="19"/>
    </row>
    <row r="55" spans="12:23" x14ac:dyDescent="0.25">
      <c r="L55" s="18"/>
      <c r="N55" s="18"/>
      <c r="T55" s="18"/>
      <c r="W55" s="18"/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DC54-E5A0-44C1-ADA1-F9D9EC65A6EC}">
  <sheetPr codeName="Planilha4">
    <tabColor rgb="FF00B050"/>
  </sheetPr>
  <dimension ref="A1:AC53"/>
  <sheetViews>
    <sheetView workbookViewId="0">
      <selection activeCell="A3" sqref="A3:AC30"/>
    </sheetView>
  </sheetViews>
  <sheetFormatPr defaultRowHeight="15" x14ac:dyDescent="0.25"/>
  <cols>
    <col min="1" max="1" width="8.42578125" bestFit="1" customWidth="1"/>
    <col min="2" max="2" width="7.140625" bestFit="1" customWidth="1"/>
    <col min="3" max="3" width="5.42578125" bestFit="1" customWidth="1"/>
    <col min="4" max="4" width="6.7109375" bestFit="1" customWidth="1"/>
    <col min="5" max="5" width="11.140625" bestFit="1" customWidth="1"/>
    <col min="6" max="6" width="18.85546875" bestFit="1" customWidth="1"/>
    <col min="7" max="7" width="11.140625" bestFit="1" customWidth="1"/>
    <col min="8" max="8" width="8.7109375" bestFit="1" customWidth="1"/>
    <col min="9" max="9" width="7.85546875" bestFit="1" customWidth="1"/>
    <col min="10" max="10" width="8.42578125" bestFit="1" customWidth="1"/>
    <col min="11" max="11" width="10.140625" bestFit="1" customWidth="1"/>
    <col min="12" max="12" width="8.140625" bestFit="1" customWidth="1"/>
    <col min="13" max="13" width="10.140625" bestFit="1" customWidth="1"/>
    <col min="14" max="14" width="8.140625" bestFit="1" customWidth="1"/>
    <col min="15" max="15" width="15.85546875" bestFit="1" customWidth="1"/>
    <col min="16" max="16" width="14.42578125" bestFit="1" customWidth="1"/>
    <col min="17" max="17" width="5.5703125" bestFit="1" customWidth="1"/>
    <col min="20" max="20" width="8.140625" bestFit="1" customWidth="1"/>
    <col min="23" max="23" width="8.140625" bestFit="1" customWidth="1"/>
    <col min="25" max="27" width="2" bestFit="1" customWidth="1"/>
    <col min="28" max="28" width="14" bestFit="1" customWidth="1"/>
    <col min="29" max="29" width="3" bestFit="1" customWidth="1"/>
  </cols>
  <sheetData>
    <row r="1" spans="1:29" ht="15.75" thickBot="1" x14ac:dyDescent="0.3">
      <c r="H1">
        <f>SUM(H3:H1048576)</f>
        <v>398</v>
      </c>
    </row>
    <row r="2" spans="1:29" s="30" customFormat="1" ht="15.75" thickBot="1" x14ac:dyDescent="0.3">
      <c r="A2" s="27" t="s">
        <v>29</v>
      </c>
      <c r="B2" s="28" t="s">
        <v>28</v>
      </c>
      <c r="C2" s="28" t="s">
        <v>27</v>
      </c>
      <c r="D2" s="28" t="s">
        <v>30</v>
      </c>
      <c r="E2" s="28" t="s">
        <v>31</v>
      </c>
      <c r="F2" s="28" t="s">
        <v>32</v>
      </c>
      <c r="G2" s="28" t="s">
        <v>33</v>
      </c>
      <c r="H2" s="28" t="s">
        <v>34</v>
      </c>
      <c r="I2" s="28" t="s">
        <v>35</v>
      </c>
      <c r="J2" s="29" t="s">
        <v>36</v>
      </c>
      <c r="K2" s="31"/>
    </row>
    <row r="3" spans="1:29" x14ac:dyDescent="0.25">
      <c r="A3">
        <v>105945436</v>
      </c>
      <c r="B3">
        <v>2026777600</v>
      </c>
      <c r="C3">
        <v>10</v>
      </c>
      <c r="E3" t="s">
        <v>10</v>
      </c>
      <c r="F3" t="s">
        <v>216</v>
      </c>
      <c r="G3">
        <v>4</v>
      </c>
      <c r="H3">
        <v>16</v>
      </c>
      <c r="I3">
        <v>0</v>
      </c>
      <c r="J3">
        <v>4</v>
      </c>
      <c r="K3" t="s">
        <v>66</v>
      </c>
      <c r="L3" s="18">
        <v>0.71250000000000002</v>
      </c>
      <c r="M3" t="s">
        <v>77</v>
      </c>
      <c r="N3" s="18">
        <v>0.46250000000000002</v>
      </c>
      <c r="O3" t="s">
        <v>40</v>
      </c>
      <c r="P3" t="s">
        <v>14</v>
      </c>
      <c r="Q3" t="s">
        <v>13</v>
      </c>
      <c r="T3" s="18">
        <v>0</v>
      </c>
      <c r="W3" s="18">
        <v>0</v>
      </c>
      <c r="Y3">
        <v>0</v>
      </c>
      <c r="Z3">
        <v>0</v>
      </c>
      <c r="AA3">
        <v>2</v>
      </c>
      <c r="AB3" t="s">
        <v>20</v>
      </c>
      <c r="AC3">
        <v>18</v>
      </c>
    </row>
    <row r="4" spans="1:29" x14ac:dyDescent="0.25">
      <c r="A4">
        <v>133844745</v>
      </c>
      <c r="B4">
        <v>2027914281</v>
      </c>
      <c r="C4">
        <v>275</v>
      </c>
      <c r="E4" t="s">
        <v>10</v>
      </c>
      <c r="F4" t="s">
        <v>217</v>
      </c>
      <c r="G4">
        <v>4</v>
      </c>
      <c r="H4">
        <v>16</v>
      </c>
      <c r="I4">
        <v>0</v>
      </c>
      <c r="J4">
        <v>4</v>
      </c>
      <c r="K4" t="s">
        <v>68</v>
      </c>
      <c r="L4" s="18">
        <v>0.44583333333333336</v>
      </c>
      <c r="M4" t="s">
        <v>68</v>
      </c>
      <c r="N4" s="18">
        <v>0.62083333333333335</v>
      </c>
      <c r="O4" t="s">
        <v>41</v>
      </c>
      <c r="P4" t="s">
        <v>14</v>
      </c>
      <c r="Q4" t="s">
        <v>13</v>
      </c>
      <c r="T4" s="18">
        <v>0</v>
      </c>
      <c r="W4" s="18">
        <v>0</v>
      </c>
      <c r="Y4">
        <v>0</v>
      </c>
      <c r="Z4">
        <v>0</v>
      </c>
      <c r="AA4">
        <v>1</v>
      </c>
      <c r="AB4" t="s">
        <v>20</v>
      </c>
      <c r="AC4">
        <v>18</v>
      </c>
    </row>
    <row r="5" spans="1:29" x14ac:dyDescent="0.25">
      <c r="A5">
        <v>133844756</v>
      </c>
      <c r="B5">
        <v>2027914281</v>
      </c>
      <c r="C5">
        <v>300</v>
      </c>
      <c r="E5" t="s">
        <v>10</v>
      </c>
      <c r="F5" t="s">
        <v>218</v>
      </c>
      <c r="G5">
        <v>4</v>
      </c>
      <c r="H5">
        <v>16</v>
      </c>
      <c r="I5">
        <v>0</v>
      </c>
      <c r="J5">
        <v>4</v>
      </c>
      <c r="K5" t="s">
        <v>68</v>
      </c>
      <c r="L5" s="18">
        <v>0.44583333333333336</v>
      </c>
      <c r="M5" t="s">
        <v>68</v>
      </c>
      <c r="N5" s="18">
        <v>0.62083333333333335</v>
      </c>
      <c r="O5" t="s">
        <v>41</v>
      </c>
      <c r="P5" t="s">
        <v>14</v>
      </c>
      <c r="Q5" t="s">
        <v>13</v>
      </c>
      <c r="T5" s="18">
        <v>0</v>
      </c>
      <c r="W5" s="18">
        <v>0</v>
      </c>
      <c r="Y5">
        <v>0</v>
      </c>
      <c r="Z5">
        <v>0</v>
      </c>
      <c r="AA5">
        <v>1</v>
      </c>
      <c r="AB5" t="s">
        <v>20</v>
      </c>
      <c r="AC5">
        <v>18</v>
      </c>
    </row>
    <row r="6" spans="1:29" x14ac:dyDescent="0.25">
      <c r="A6">
        <v>116655735</v>
      </c>
      <c r="B6">
        <v>2028286018</v>
      </c>
      <c r="C6">
        <v>290</v>
      </c>
      <c r="E6" t="s">
        <v>10</v>
      </c>
      <c r="F6" t="s">
        <v>222</v>
      </c>
      <c r="G6">
        <v>4</v>
      </c>
      <c r="H6">
        <v>8</v>
      </c>
      <c r="I6">
        <v>0</v>
      </c>
      <c r="J6">
        <v>2</v>
      </c>
      <c r="K6" t="s">
        <v>68</v>
      </c>
      <c r="L6" s="18">
        <v>0.6875</v>
      </c>
      <c r="M6" t="s">
        <v>74</v>
      </c>
      <c r="N6" s="18">
        <v>0.33750000000000002</v>
      </c>
      <c r="O6" t="s">
        <v>40</v>
      </c>
      <c r="P6" t="s">
        <v>14</v>
      </c>
      <c r="Q6" t="s">
        <v>13</v>
      </c>
      <c r="T6" s="18">
        <v>0</v>
      </c>
      <c r="W6" s="19">
        <v>0</v>
      </c>
      <c r="Y6">
        <v>0</v>
      </c>
      <c r="Z6">
        <v>0</v>
      </c>
      <c r="AA6">
        <v>1</v>
      </c>
      <c r="AB6" t="s">
        <v>20</v>
      </c>
      <c r="AC6">
        <v>18</v>
      </c>
    </row>
    <row r="7" spans="1:29" x14ac:dyDescent="0.25">
      <c r="A7">
        <v>117101929</v>
      </c>
      <c r="B7">
        <v>2028493669</v>
      </c>
      <c r="C7">
        <v>15</v>
      </c>
      <c r="E7" t="s">
        <v>10</v>
      </c>
      <c r="F7" t="s">
        <v>223</v>
      </c>
      <c r="G7">
        <v>4</v>
      </c>
      <c r="H7">
        <v>16</v>
      </c>
      <c r="I7">
        <v>0</v>
      </c>
      <c r="J7">
        <v>4</v>
      </c>
      <c r="K7" t="s">
        <v>68</v>
      </c>
      <c r="L7" s="18">
        <v>0.3125</v>
      </c>
      <c r="M7" t="s">
        <v>68</v>
      </c>
      <c r="N7" s="18">
        <v>0.44583333333333336</v>
      </c>
      <c r="O7" t="s">
        <v>11</v>
      </c>
      <c r="P7" t="s">
        <v>14</v>
      </c>
      <c r="Q7" t="s">
        <v>13</v>
      </c>
      <c r="T7" s="18">
        <v>0</v>
      </c>
      <c r="W7" s="19">
        <v>0</v>
      </c>
      <c r="Y7">
        <v>0</v>
      </c>
      <c r="Z7">
        <v>0</v>
      </c>
      <c r="AA7">
        <v>1</v>
      </c>
      <c r="AB7" t="s">
        <v>20</v>
      </c>
      <c r="AC7">
        <v>18</v>
      </c>
    </row>
    <row r="8" spans="1:29" x14ac:dyDescent="0.25">
      <c r="A8">
        <v>132993858</v>
      </c>
      <c r="B8">
        <v>2028602605</v>
      </c>
      <c r="C8">
        <v>35</v>
      </c>
      <c r="E8" t="s">
        <v>10</v>
      </c>
      <c r="F8" t="s">
        <v>224</v>
      </c>
      <c r="G8">
        <v>4</v>
      </c>
      <c r="H8">
        <v>8</v>
      </c>
      <c r="I8">
        <v>0</v>
      </c>
      <c r="J8">
        <v>2</v>
      </c>
      <c r="K8" t="s">
        <v>68</v>
      </c>
      <c r="L8" s="18">
        <v>0.62083333333333335</v>
      </c>
      <c r="M8" t="s">
        <v>68</v>
      </c>
      <c r="N8" s="18">
        <v>0.6875</v>
      </c>
      <c r="O8" t="s">
        <v>41</v>
      </c>
      <c r="P8" t="s">
        <v>14</v>
      </c>
      <c r="Q8" t="s">
        <v>13</v>
      </c>
      <c r="T8" s="18">
        <v>0</v>
      </c>
      <c r="W8" s="19">
        <v>0</v>
      </c>
      <c r="Y8">
        <v>0</v>
      </c>
      <c r="Z8">
        <v>0</v>
      </c>
      <c r="AA8">
        <v>1</v>
      </c>
      <c r="AB8" t="s">
        <v>20</v>
      </c>
      <c r="AC8">
        <v>18</v>
      </c>
    </row>
    <row r="9" spans="1:29" x14ac:dyDescent="0.25">
      <c r="A9">
        <v>121381330</v>
      </c>
      <c r="B9">
        <v>2029466654</v>
      </c>
      <c r="C9">
        <v>30</v>
      </c>
      <c r="E9" t="s">
        <v>10</v>
      </c>
      <c r="F9" t="s">
        <v>228</v>
      </c>
      <c r="G9">
        <v>4</v>
      </c>
      <c r="H9">
        <v>16</v>
      </c>
      <c r="I9">
        <v>0</v>
      </c>
      <c r="J9">
        <v>4</v>
      </c>
      <c r="K9" t="s">
        <v>68</v>
      </c>
      <c r="L9" s="18">
        <v>0</v>
      </c>
      <c r="M9" t="s">
        <v>68</v>
      </c>
      <c r="N9" s="18">
        <v>0.16666666666666666</v>
      </c>
      <c r="O9" t="s">
        <v>11</v>
      </c>
      <c r="P9" t="s">
        <v>14</v>
      </c>
      <c r="Q9" t="s">
        <v>13</v>
      </c>
      <c r="T9" s="18">
        <v>0</v>
      </c>
      <c r="W9" s="18">
        <v>0</v>
      </c>
      <c r="Y9">
        <v>0</v>
      </c>
      <c r="Z9">
        <v>0</v>
      </c>
      <c r="AA9">
        <v>2</v>
      </c>
      <c r="AB9" t="s">
        <v>20</v>
      </c>
      <c r="AC9">
        <v>18</v>
      </c>
    </row>
    <row r="10" spans="1:29" x14ac:dyDescent="0.25">
      <c r="A10">
        <v>123166995</v>
      </c>
      <c r="B10">
        <v>2029717491</v>
      </c>
      <c r="C10">
        <v>120</v>
      </c>
      <c r="E10" t="s">
        <v>10</v>
      </c>
      <c r="F10" t="s">
        <v>230</v>
      </c>
      <c r="G10">
        <v>4</v>
      </c>
      <c r="H10">
        <v>8</v>
      </c>
      <c r="I10">
        <v>0</v>
      </c>
      <c r="J10">
        <v>2</v>
      </c>
      <c r="K10" t="s">
        <v>74</v>
      </c>
      <c r="L10" s="18">
        <v>0.33750000000000002</v>
      </c>
      <c r="M10" t="s">
        <v>74</v>
      </c>
      <c r="N10" s="18">
        <v>0.40416666666666667</v>
      </c>
      <c r="O10" t="s">
        <v>19</v>
      </c>
      <c r="P10" t="s">
        <v>14</v>
      </c>
      <c r="Q10" t="s">
        <v>13</v>
      </c>
      <c r="T10" s="18">
        <v>0</v>
      </c>
      <c r="W10" s="18">
        <v>0</v>
      </c>
      <c r="Y10">
        <v>0</v>
      </c>
      <c r="Z10">
        <v>0</v>
      </c>
      <c r="AA10">
        <v>1</v>
      </c>
      <c r="AB10" t="s">
        <v>20</v>
      </c>
      <c r="AC10">
        <v>18</v>
      </c>
    </row>
    <row r="11" spans="1:29" x14ac:dyDescent="0.25">
      <c r="A11">
        <v>128146277</v>
      </c>
      <c r="B11">
        <v>2030381392</v>
      </c>
      <c r="C11">
        <v>10</v>
      </c>
      <c r="E11" t="s">
        <v>10</v>
      </c>
      <c r="F11" t="s">
        <v>244</v>
      </c>
      <c r="G11">
        <v>4</v>
      </c>
      <c r="H11">
        <v>24</v>
      </c>
      <c r="I11">
        <v>0</v>
      </c>
      <c r="J11">
        <v>6</v>
      </c>
      <c r="K11" t="s">
        <v>65</v>
      </c>
      <c r="L11" s="18">
        <v>0.66749999999999998</v>
      </c>
      <c r="M11" t="s">
        <v>66</v>
      </c>
      <c r="N11" s="18">
        <v>0.45083333333333331</v>
      </c>
      <c r="O11" t="s">
        <v>40</v>
      </c>
      <c r="P11" t="s">
        <v>14</v>
      </c>
      <c r="Q11" t="s">
        <v>13</v>
      </c>
      <c r="T11" s="18">
        <v>0</v>
      </c>
      <c r="W11" s="19">
        <v>0</v>
      </c>
      <c r="Y11">
        <v>0</v>
      </c>
      <c r="Z11">
        <v>0</v>
      </c>
      <c r="AA11">
        <v>1</v>
      </c>
      <c r="AB11" t="s">
        <v>20</v>
      </c>
      <c r="AC11">
        <v>18</v>
      </c>
    </row>
    <row r="12" spans="1:29" x14ac:dyDescent="0.25">
      <c r="A12">
        <v>127232888</v>
      </c>
      <c r="B12">
        <v>2030402239</v>
      </c>
      <c r="C12">
        <v>10</v>
      </c>
      <c r="E12" t="s">
        <v>10</v>
      </c>
      <c r="F12" t="s">
        <v>245</v>
      </c>
      <c r="G12">
        <v>4</v>
      </c>
      <c r="H12">
        <v>8</v>
      </c>
      <c r="I12">
        <v>0</v>
      </c>
      <c r="J12">
        <v>2</v>
      </c>
      <c r="K12" t="s">
        <v>68</v>
      </c>
      <c r="L12" s="18">
        <v>0.3125</v>
      </c>
      <c r="M12" t="s">
        <v>68</v>
      </c>
      <c r="N12" s="18">
        <v>0.39583333333333331</v>
      </c>
      <c r="O12" t="s">
        <v>40</v>
      </c>
      <c r="P12" t="s">
        <v>14</v>
      </c>
      <c r="Q12" t="s">
        <v>13</v>
      </c>
      <c r="T12" s="18">
        <v>0</v>
      </c>
      <c r="W12" s="18">
        <v>0</v>
      </c>
      <c r="Y12">
        <v>0</v>
      </c>
      <c r="Z12">
        <v>0</v>
      </c>
      <c r="AA12">
        <v>2</v>
      </c>
      <c r="AB12" t="s">
        <v>20</v>
      </c>
      <c r="AC12">
        <v>18</v>
      </c>
    </row>
    <row r="13" spans="1:29" x14ac:dyDescent="0.25">
      <c r="A13">
        <v>127359074</v>
      </c>
      <c r="B13">
        <v>2030402239</v>
      </c>
      <c r="C13">
        <v>15</v>
      </c>
      <c r="E13" t="s">
        <v>10</v>
      </c>
      <c r="F13" t="s">
        <v>246</v>
      </c>
      <c r="G13">
        <v>4</v>
      </c>
      <c r="H13">
        <v>8</v>
      </c>
      <c r="I13">
        <v>0</v>
      </c>
      <c r="J13">
        <v>2</v>
      </c>
      <c r="K13" t="s">
        <v>68</v>
      </c>
      <c r="L13" s="18">
        <v>0.39583333333333331</v>
      </c>
      <c r="M13" t="s">
        <v>68</v>
      </c>
      <c r="N13" s="18">
        <v>0.47916666666666669</v>
      </c>
      <c r="O13" t="s">
        <v>40</v>
      </c>
      <c r="P13" t="s">
        <v>14</v>
      </c>
      <c r="Q13" t="s">
        <v>13</v>
      </c>
      <c r="T13" s="18">
        <v>0</v>
      </c>
      <c r="W13" s="18">
        <v>0</v>
      </c>
      <c r="Y13">
        <v>0</v>
      </c>
      <c r="Z13">
        <v>0</v>
      </c>
      <c r="AA13">
        <v>2</v>
      </c>
      <c r="AB13" t="s">
        <v>20</v>
      </c>
      <c r="AC13">
        <v>18</v>
      </c>
    </row>
    <row r="14" spans="1:29" x14ac:dyDescent="0.25">
      <c r="A14">
        <v>127365061</v>
      </c>
      <c r="B14">
        <v>2030402573</v>
      </c>
      <c r="C14">
        <v>310</v>
      </c>
      <c r="E14" t="s">
        <v>10</v>
      </c>
      <c r="F14" t="s">
        <v>247</v>
      </c>
      <c r="G14">
        <v>4</v>
      </c>
      <c r="H14">
        <v>8</v>
      </c>
      <c r="I14">
        <v>0</v>
      </c>
      <c r="J14">
        <v>2</v>
      </c>
      <c r="K14" t="s">
        <v>65</v>
      </c>
      <c r="L14" s="18">
        <v>0.43583333333333335</v>
      </c>
      <c r="M14" t="s">
        <v>65</v>
      </c>
      <c r="N14" s="18">
        <v>0.54416666666666669</v>
      </c>
      <c r="O14" t="s">
        <v>11</v>
      </c>
      <c r="P14" t="s">
        <v>14</v>
      </c>
      <c r="Q14" t="s">
        <v>13</v>
      </c>
      <c r="T14" s="18">
        <v>0</v>
      </c>
      <c r="W14" s="18">
        <v>0</v>
      </c>
      <c r="Y14">
        <v>0</v>
      </c>
      <c r="Z14">
        <v>0</v>
      </c>
      <c r="AA14">
        <v>2</v>
      </c>
      <c r="AB14" t="s">
        <v>20</v>
      </c>
      <c r="AC14">
        <v>18</v>
      </c>
    </row>
    <row r="15" spans="1:29" x14ac:dyDescent="0.25">
      <c r="A15">
        <v>128103967</v>
      </c>
      <c r="B15">
        <v>2030543381</v>
      </c>
      <c r="C15">
        <v>120</v>
      </c>
      <c r="E15" t="s">
        <v>10</v>
      </c>
      <c r="F15" t="s">
        <v>248</v>
      </c>
      <c r="G15">
        <v>4</v>
      </c>
      <c r="H15">
        <v>8</v>
      </c>
      <c r="I15">
        <v>0</v>
      </c>
      <c r="J15">
        <v>2</v>
      </c>
      <c r="K15" t="s">
        <v>68</v>
      </c>
      <c r="L15" s="18">
        <v>0.58750000000000002</v>
      </c>
      <c r="M15" t="s">
        <v>68</v>
      </c>
      <c r="N15" s="18">
        <v>0.65416666666666667</v>
      </c>
      <c r="O15" t="s">
        <v>40</v>
      </c>
      <c r="P15" t="s">
        <v>14</v>
      </c>
      <c r="Q15" t="s">
        <v>13</v>
      </c>
      <c r="T15" s="18">
        <v>0</v>
      </c>
      <c r="W15" s="19">
        <v>0</v>
      </c>
      <c r="Y15">
        <v>0</v>
      </c>
      <c r="Z15">
        <v>0</v>
      </c>
      <c r="AA15">
        <v>2</v>
      </c>
      <c r="AB15" t="s">
        <v>20</v>
      </c>
      <c r="AC15">
        <v>18</v>
      </c>
    </row>
    <row r="16" spans="1:29" x14ac:dyDescent="0.25">
      <c r="A16">
        <v>131437220</v>
      </c>
      <c r="B16">
        <v>2031021354</v>
      </c>
      <c r="C16">
        <v>10</v>
      </c>
      <c r="E16" t="s">
        <v>10</v>
      </c>
      <c r="F16" t="s">
        <v>255</v>
      </c>
      <c r="G16">
        <v>4</v>
      </c>
      <c r="H16">
        <v>16</v>
      </c>
      <c r="I16">
        <v>0</v>
      </c>
      <c r="J16">
        <v>4</v>
      </c>
      <c r="K16" t="s">
        <v>65</v>
      </c>
      <c r="L16" s="18">
        <v>0.6958333333333333</v>
      </c>
      <c r="M16" t="s">
        <v>66</v>
      </c>
      <c r="N16" s="18">
        <v>0.41249999999999998</v>
      </c>
      <c r="O16" t="s">
        <v>40</v>
      </c>
      <c r="P16" t="s">
        <v>14</v>
      </c>
      <c r="Q16" t="s">
        <v>13</v>
      </c>
      <c r="T16" s="18">
        <v>0</v>
      </c>
      <c r="W16" s="18">
        <v>0</v>
      </c>
      <c r="Y16">
        <v>0</v>
      </c>
      <c r="Z16">
        <v>0</v>
      </c>
      <c r="AA16">
        <v>1</v>
      </c>
      <c r="AB16" t="s">
        <v>20</v>
      </c>
      <c r="AC16">
        <v>18</v>
      </c>
    </row>
    <row r="17" spans="1:29" x14ac:dyDescent="0.25">
      <c r="A17">
        <v>132389361</v>
      </c>
      <c r="B17">
        <v>2031127377</v>
      </c>
      <c r="C17">
        <v>5</v>
      </c>
      <c r="E17" t="s">
        <v>10</v>
      </c>
      <c r="F17" t="s">
        <v>257</v>
      </c>
      <c r="G17">
        <v>4</v>
      </c>
      <c r="H17">
        <v>16</v>
      </c>
      <c r="I17">
        <v>0</v>
      </c>
      <c r="J17">
        <v>4</v>
      </c>
      <c r="K17" t="s">
        <v>66</v>
      </c>
      <c r="L17" s="18">
        <v>0.59250000000000003</v>
      </c>
      <c r="M17" t="s">
        <v>66</v>
      </c>
      <c r="N17" s="18">
        <v>0.72583333333333333</v>
      </c>
      <c r="O17" t="s">
        <v>40</v>
      </c>
      <c r="P17" t="s">
        <v>14</v>
      </c>
      <c r="Q17" t="s">
        <v>13</v>
      </c>
      <c r="T17" s="18">
        <v>0</v>
      </c>
      <c r="W17" s="18">
        <v>0</v>
      </c>
      <c r="Y17">
        <v>0</v>
      </c>
      <c r="Z17">
        <v>0</v>
      </c>
      <c r="AA17">
        <v>1</v>
      </c>
      <c r="AB17" t="s">
        <v>20</v>
      </c>
      <c r="AC17">
        <v>18</v>
      </c>
    </row>
    <row r="18" spans="1:29" x14ac:dyDescent="0.25">
      <c r="A18">
        <v>132755673</v>
      </c>
      <c r="B18">
        <v>2031216118</v>
      </c>
      <c r="C18">
        <v>141</v>
      </c>
      <c r="E18" t="s">
        <v>10</v>
      </c>
      <c r="F18" t="s">
        <v>263</v>
      </c>
      <c r="G18">
        <v>4</v>
      </c>
      <c r="H18">
        <v>32</v>
      </c>
      <c r="I18">
        <v>5.7</v>
      </c>
      <c r="J18">
        <v>8</v>
      </c>
      <c r="K18" t="s">
        <v>68</v>
      </c>
      <c r="L18" s="18">
        <v>0</v>
      </c>
      <c r="M18" t="s">
        <v>68</v>
      </c>
      <c r="N18" s="18">
        <v>0.27422453703703703</v>
      </c>
      <c r="O18" t="s">
        <v>19</v>
      </c>
      <c r="P18" t="s">
        <v>264</v>
      </c>
      <c r="Q18" t="s">
        <v>13</v>
      </c>
      <c r="T18" s="18">
        <v>0</v>
      </c>
      <c r="W18" s="19">
        <v>0</v>
      </c>
      <c r="Y18">
        <v>0</v>
      </c>
      <c r="Z18">
        <v>0</v>
      </c>
      <c r="AA18">
        <v>1</v>
      </c>
      <c r="AB18" t="s">
        <v>20</v>
      </c>
      <c r="AC18">
        <v>18</v>
      </c>
    </row>
    <row r="19" spans="1:29" x14ac:dyDescent="0.25">
      <c r="A19">
        <v>133279867</v>
      </c>
      <c r="B19">
        <v>2031216118</v>
      </c>
      <c r="C19">
        <v>155</v>
      </c>
      <c r="E19" t="s">
        <v>10</v>
      </c>
      <c r="F19" t="s">
        <v>265</v>
      </c>
      <c r="G19">
        <v>6</v>
      </c>
      <c r="H19">
        <v>48</v>
      </c>
      <c r="I19">
        <v>0</v>
      </c>
      <c r="J19">
        <v>8</v>
      </c>
      <c r="K19" t="s">
        <v>68</v>
      </c>
      <c r="L19" s="18">
        <v>0.27422453703703703</v>
      </c>
      <c r="M19" t="s">
        <v>68</v>
      </c>
      <c r="N19" s="18">
        <v>0.60755787037037035</v>
      </c>
      <c r="O19" t="s">
        <v>11</v>
      </c>
      <c r="P19" t="s">
        <v>14</v>
      </c>
      <c r="Q19" t="s">
        <v>13</v>
      </c>
      <c r="T19" s="18">
        <v>0</v>
      </c>
      <c r="W19" s="19">
        <v>0</v>
      </c>
      <c r="Y19">
        <v>0</v>
      </c>
      <c r="Z19">
        <v>0</v>
      </c>
      <c r="AA19">
        <v>1</v>
      </c>
      <c r="AB19" t="s">
        <v>20</v>
      </c>
      <c r="AC19">
        <v>18</v>
      </c>
    </row>
    <row r="20" spans="1:29" x14ac:dyDescent="0.25">
      <c r="A20">
        <v>133419327</v>
      </c>
      <c r="B20">
        <v>2031324293</v>
      </c>
      <c r="C20">
        <v>10</v>
      </c>
      <c r="E20" t="s">
        <v>10</v>
      </c>
      <c r="F20" t="s">
        <v>47</v>
      </c>
      <c r="G20">
        <v>4</v>
      </c>
      <c r="H20">
        <v>12</v>
      </c>
      <c r="I20">
        <v>0</v>
      </c>
      <c r="J20">
        <v>3</v>
      </c>
      <c r="K20" t="s">
        <v>74</v>
      </c>
      <c r="L20" s="18">
        <v>0.33750000000000002</v>
      </c>
      <c r="M20" t="s">
        <v>74</v>
      </c>
      <c r="N20" s="18">
        <v>0.4375</v>
      </c>
      <c r="O20" t="s">
        <v>19</v>
      </c>
      <c r="P20" t="s">
        <v>14</v>
      </c>
      <c r="Q20" t="s">
        <v>13</v>
      </c>
      <c r="T20" s="18">
        <v>0</v>
      </c>
      <c r="W20" s="19">
        <v>0</v>
      </c>
      <c r="Y20">
        <v>0</v>
      </c>
      <c r="Z20">
        <v>0</v>
      </c>
      <c r="AA20">
        <v>1</v>
      </c>
      <c r="AB20" t="s">
        <v>20</v>
      </c>
      <c r="AC20">
        <v>18</v>
      </c>
    </row>
    <row r="21" spans="1:29" x14ac:dyDescent="0.25">
      <c r="A21">
        <v>134620037</v>
      </c>
      <c r="B21">
        <v>2031324298</v>
      </c>
      <c r="C21">
        <v>310</v>
      </c>
      <c r="E21" t="s">
        <v>10</v>
      </c>
      <c r="F21" t="s">
        <v>272</v>
      </c>
      <c r="G21">
        <v>4</v>
      </c>
      <c r="H21">
        <v>32</v>
      </c>
      <c r="I21">
        <v>0</v>
      </c>
      <c r="J21">
        <v>8</v>
      </c>
      <c r="K21" t="s">
        <v>68</v>
      </c>
      <c r="L21" s="18">
        <v>0.44583333333333336</v>
      </c>
      <c r="M21" t="s">
        <v>74</v>
      </c>
      <c r="N21" s="18">
        <v>0.33750000000000002</v>
      </c>
      <c r="O21" t="s">
        <v>11</v>
      </c>
      <c r="P21" t="s">
        <v>14</v>
      </c>
      <c r="Q21" t="s">
        <v>13</v>
      </c>
      <c r="T21" s="18">
        <v>0</v>
      </c>
      <c r="W21" s="18">
        <v>0</v>
      </c>
      <c r="Y21">
        <v>0</v>
      </c>
      <c r="Z21">
        <v>0</v>
      </c>
      <c r="AA21">
        <v>2</v>
      </c>
      <c r="AB21" t="s">
        <v>43</v>
      </c>
      <c r="AC21">
        <v>14</v>
      </c>
    </row>
    <row r="22" spans="1:29" x14ac:dyDescent="0.25">
      <c r="A22">
        <v>134596163</v>
      </c>
      <c r="B22">
        <v>2031335926</v>
      </c>
      <c r="C22">
        <v>95</v>
      </c>
      <c r="E22" t="s">
        <v>10</v>
      </c>
      <c r="F22" t="s">
        <v>273</v>
      </c>
      <c r="G22">
        <v>4</v>
      </c>
      <c r="H22">
        <v>12</v>
      </c>
      <c r="I22">
        <v>0</v>
      </c>
      <c r="J22">
        <v>3</v>
      </c>
      <c r="K22" t="s">
        <v>68</v>
      </c>
      <c r="L22" s="18">
        <v>0.47916666666666669</v>
      </c>
      <c r="M22" t="s">
        <v>68</v>
      </c>
      <c r="N22" s="18">
        <v>0.64583333333333337</v>
      </c>
      <c r="O22" t="s">
        <v>40</v>
      </c>
      <c r="P22" t="s">
        <v>14</v>
      </c>
      <c r="Q22" t="s">
        <v>13</v>
      </c>
      <c r="T22" s="18">
        <v>0</v>
      </c>
      <c r="W22" s="18">
        <v>0</v>
      </c>
      <c r="Y22">
        <v>0</v>
      </c>
      <c r="Z22">
        <v>0</v>
      </c>
      <c r="AA22">
        <v>1</v>
      </c>
      <c r="AB22" t="s">
        <v>20</v>
      </c>
      <c r="AC22">
        <v>18</v>
      </c>
    </row>
    <row r="23" spans="1:29" x14ac:dyDescent="0.25">
      <c r="A23">
        <v>133816222</v>
      </c>
      <c r="B23">
        <v>2031380216</v>
      </c>
      <c r="C23">
        <v>10</v>
      </c>
      <c r="E23" t="s">
        <v>10</v>
      </c>
      <c r="F23" t="s">
        <v>277</v>
      </c>
      <c r="G23">
        <v>4</v>
      </c>
      <c r="H23">
        <v>12</v>
      </c>
      <c r="I23">
        <v>0</v>
      </c>
      <c r="J23">
        <v>3</v>
      </c>
      <c r="K23" t="s">
        <v>66</v>
      </c>
      <c r="L23" s="18">
        <v>0.3125</v>
      </c>
      <c r="M23" t="s">
        <v>66</v>
      </c>
      <c r="N23" s="18">
        <v>0.41249999999999998</v>
      </c>
      <c r="O23" t="s">
        <v>11</v>
      </c>
      <c r="P23" t="s">
        <v>14</v>
      </c>
      <c r="Q23" t="s">
        <v>13</v>
      </c>
      <c r="T23" s="18">
        <v>0</v>
      </c>
      <c r="W23" s="18">
        <v>0</v>
      </c>
      <c r="Y23">
        <v>0</v>
      </c>
      <c r="Z23">
        <v>0</v>
      </c>
      <c r="AA23">
        <v>1</v>
      </c>
      <c r="AB23" t="s">
        <v>20</v>
      </c>
      <c r="AC23">
        <v>18</v>
      </c>
    </row>
    <row r="24" spans="1:29" x14ac:dyDescent="0.25">
      <c r="A24">
        <v>134012057</v>
      </c>
      <c r="B24">
        <v>2031382917</v>
      </c>
      <c r="C24">
        <v>55</v>
      </c>
      <c r="E24" t="s">
        <v>10</v>
      </c>
      <c r="F24" t="s">
        <v>278</v>
      </c>
      <c r="G24">
        <v>4</v>
      </c>
      <c r="H24">
        <v>6</v>
      </c>
      <c r="I24">
        <v>0</v>
      </c>
      <c r="J24">
        <v>1.5</v>
      </c>
      <c r="K24" t="s">
        <v>74</v>
      </c>
      <c r="L24" s="18">
        <v>0.40416666666666667</v>
      </c>
      <c r="M24" t="s">
        <v>74</v>
      </c>
      <c r="N24" s="18">
        <v>0.45416666666666666</v>
      </c>
      <c r="O24" t="s">
        <v>19</v>
      </c>
      <c r="P24" t="s">
        <v>14</v>
      </c>
      <c r="Q24" t="s">
        <v>13</v>
      </c>
      <c r="T24" s="18">
        <v>0</v>
      </c>
      <c r="W24" s="18">
        <v>0</v>
      </c>
      <c r="Y24">
        <v>0</v>
      </c>
      <c r="Z24">
        <v>0</v>
      </c>
      <c r="AA24">
        <v>2</v>
      </c>
      <c r="AB24" t="s">
        <v>20</v>
      </c>
      <c r="AC24">
        <v>18</v>
      </c>
    </row>
    <row r="25" spans="1:29" x14ac:dyDescent="0.25">
      <c r="A25">
        <v>134563081</v>
      </c>
      <c r="B25">
        <v>2031508728</v>
      </c>
      <c r="C25">
        <v>10</v>
      </c>
      <c r="E25" t="s">
        <v>10</v>
      </c>
      <c r="F25" t="s">
        <v>283</v>
      </c>
      <c r="G25">
        <v>4</v>
      </c>
      <c r="H25">
        <v>16</v>
      </c>
      <c r="I25">
        <v>0</v>
      </c>
      <c r="J25">
        <v>4</v>
      </c>
      <c r="K25" t="s">
        <v>68</v>
      </c>
      <c r="L25" s="18">
        <v>0.3125</v>
      </c>
      <c r="M25" t="s">
        <v>68</v>
      </c>
      <c r="N25" s="18">
        <v>0.47916666666666669</v>
      </c>
      <c r="O25" t="s">
        <v>40</v>
      </c>
      <c r="P25" t="s">
        <v>14</v>
      </c>
      <c r="Q25" t="s">
        <v>13</v>
      </c>
      <c r="T25" s="18">
        <v>0</v>
      </c>
      <c r="W25" s="18">
        <v>0</v>
      </c>
      <c r="Y25">
        <v>0</v>
      </c>
      <c r="Z25">
        <v>0</v>
      </c>
      <c r="AA25">
        <v>1</v>
      </c>
      <c r="AB25" t="s">
        <v>20</v>
      </c>
      <c r="AC25">
        <v>18</v>
      </c>
    </row>
    <row r="26" spans="1:29" x14ac:dyDescent="0.25">
      <c r="A26">
        <v>134567982</v>
      </c>
      <c r="B26">
        <v>2031508728</v>
      </c>
      <c r="C26">
        <v>80</v>
      </c>
      <c r="E26" t="s">
        <v>10</v>
      </c>
      <c r="F26" t="s">
        <v>284</v>
      </c>
      <c r="G26">
        <v>4</v>
      </c>
      <c r="H26">
        <v>8</v>
      </c>
      <c r="I26">
        <v>0</v>
      </c>
      <c r="J26">
        <v>2</v>
      </c>
      <c r="K26" t="s">
        <v>74</v>
      </c>
      <c r="L26" s="18">
        <v>0.6875</v>
      </c>
      <c r="M26" t="s">
        <v>65</v>
      </c>
      <c r="N26" s="18">
        <v>0.35416666666666669</v>
      </c>
      <c r="O26" t="s">
        <v>40</v>
      </c>
      <c r="P26" t="s">
        <v>14</v>
      </c>
      <c r="Q26" t="s">
        <v>13</v>
      </c>
      <c r="T26" s="18">
        <v>0</v>
      </c>
      <c r="W26" s="18">
        <v>0</v>
      </c>
      <c r="Y26">
        <v>0</v>
      </c>
      <c r="Z26">
        <v>0</v>
      </c>
      <c r="AA26">
        <v>1</v>
      </c>
      <c r="AB26" t="s">
        <v>20</v>
      </c>
      <c r="AC26">
        <v>18</v>
      </c>
    </row>
    <row r="27" spans="1:29" x14ac:dyDescent="0.25">
      <c r="A27">
        <v>134619174</v>
      </c>
      <c r="B27">
        <v>2031520505</v>
      </c>
      <c r="C27">
        <v>5</v>
      </c>
      <c r="E27" t="s">
        <v>10</v>
      </c>
      <c r="F27" t="s">
        <v>287</v>
      </c>
      <c r="G27">
        <v>4</v>
      </c>
      <c r="H27">
        <v>8</v>
      </c>
      <c r="I27">
        <v>0</v>
      </c>
      <c r="J27">
        <v>2</v>
      </c>
      <c r="K27" t="s">
        <v>68</v>
      </c>
      <c r="L27" s="18">
        <v>0.3125</v>
      </c>
      <c r="M27" t="s">
        <v>68</v>
      </c>
      <c r="N27" s="18">
        <v>0.39583333333333331</v>
      </c>
      <c r="O27" t="s">
        <v>11</v>
      </c>
      <c r="P27" t="s">
        <v>14</v>
      </c>
      <c r="Q27" t="s">
        <v>13</v>
      </c>
      <c r="T27" s="18">
        <v>0</v>
      </c>
      <c r="W27" s="18">
        <v>1</v>
      </c>
      <c r="Y27">
        <v>0</v>
      </c>
      <c r="Z27">
        <v>0</v>
      </c>
      <c r="AB27" t="s">
        <v>20</v>
      </c>
      <c r="AC27">
        <v>18</v>
      </c>
    </row>
    <row r="28" spans="1:29" x14ac:dyDescent="0.25">
      <c r="A28">
        <v>134619179</v>
      </c>
      <c r="B28">
        <v>2031520505</v>
      </c>
      <c r="C28">
        <v>130</v>
      </c>
      <c r="E28" t="s">
        <v>10</v>
      </c>
      <c r="F28" t="s">
        <v>288</v>
      </c>
      <c r="G28">
        <v>4</v>
      </c>
      <c r="H28">
        <v>4</v>
      </c>
      <c r="I28">
        <v>0</v>
      </c>
      <c r="J28">
        <v>1</v>
      </c>
      <c r="K28" t="s">
        <v>65</v>
      </c>
      <c r="L28" s="18">
        <v>0.42083333333333334</v>
      </c>
      <c r="M28" t="s">
        <v>65</v>
      </c>
      <c r="N28" s="18">
        <v>0.46250000000000002</v>
      </c>
      <c r="O28" t="s">
        <v>11</v>
      </c>
      <c r="P28" t="s">
        <v>14</v>
      </c>
      <c r="Q28" t="s">
        <v>13</v>
      </c>
      <c r="T28" s="18">
        <v>0</v>
      </c>
      <c r="W28" s="18">
        <v>1</v>
      </c>
      <c r="Y28">
        <v>0</v>
      </c>
      <c r="Z28">
        <v>0</v>
      </c>
      <c r="AB28" t="s">
        <v>20</v>
      </c>
      <c r="AC28">
        <v>18</v>
      </c>
    </row>
    <row r="29" spans="1:29" x14ac:dyDescent="0.25">
      <c r="A29">
        <v>134619934</v>
      </c>
      <c r="B29">
        <v>2031520830</v>
      </c>
      <c r="C29">
        <v>5</v>
      </c>
      <c r="E29" t="s">
        <v>10</v>
      </c>
      <c r="F29" t="s">
        <v>289</v>
      </c>
      <c r="G29">
        <v>4</v>
      </c>
      <c r="H29">
        <v>8</v>
      </c>
      <c r="I29">
        <v>0</v>
      </c>
      <c r="J29">
        <v>2</v>
      </c>
      <c r="K29" t="s">
        <v>68</v>
      </c>
      <c r="L29" s="18">
        <v>0.3125</v>
      </c>
      <c r="M29" t="s">
        <v>68</v>
      </c>
      <c r="N29" s="18">
        <v>0.39583333333333331</v>
      </c>
      <c r="O29" t="s">
        <v>11</v>
      </c>
      <c r="P29" t="s">
        <v>14</v>
      </c>
      <c r="Q29" t="s">
        <v>13</v>
      </c>
      <c r="T29" s="18">
        <v>0</v>
      </c>
      <c r="W29" s="18">
        <v>1</v>
      </c>
      <c r="Y29">
        <v>0</v>
      </c>
      <c r="Z29">
        <v>0</v>
      </c>
      <c r="AB29" t="s">
        <v>20</v>
      </c>
      <c r="AC29">
        <v>18</v>
      </c>
    </row>
    <row r="30" spans="1:29" x14ac:dyDescent="0.25">
      <c r="A30">
        <v>134619958</v>
      </c>
      <c r="B30">
        <v>2031520833</v>
      </c>
      <c r="C30">
        <v>5</v>
      </c>
      <c r="E30" t="s">
        <v>10</v>
      </c>
      <c r="F30" t="s">
        <v>290</v>
      </c>
      <c r="G30">
        <v>4</v>
      </c>
      <c r="H30">
        <v>8</v>
      </c>
      <c r="I30">
        <v>0</v>
      </c>
      <c r="J30">
        <v>2</v>
      </c>
      <c r="K30" t="s">
        <v>68</v>
      </c>
      <c r="L30" s="18">
        <v>0.3125</v>
      </c>
      <c r="M30" t="s">
        <v>68</v>
      </c>
      <c r="N30" s="18">
        <v>0.39583333333333331</v>
      </c>
      <c r="O30" t="s">
        <v>11</v>
      </c>
      <c r="P30" t="s">
        <v>14</v>
      </c>
      <c r="Q30" t="s">
        <v>13</v>
      </c>
      <c r="T30" s="18">
        <v>0</v>
      </c>
      <c r="W30" s="18">
        <v>1</v>
      </c>
      <c r="Y30">
        <v>0</v>
      </c>
      <c r="Z30">
        <v>0</v>
      </c>
      <c r="AB30" t="s">
        <v>20</v>
      </c>
      <c r="AC30">
        <v>18</v>
      </c>
    </row>
    <row r="31" spans="1:29" x14ac:dyDescent="0.25">
      <c r="L31" s="18"/>
      <c r="N31" s="18"/>
      <c r="T31" s="18"/>
      <c r="W31" s="18"/>
    </row>
    <row r="32" spans="1:29" x14ac:dyDescent="0.25">
      <c r="L32" s="18"/>
      <c r="N32" s="18"/>
      <c r="T32" s="18"/>
      <c r="W32" s="18"/>
    </row>
    <row r="33" spans="12:23" x14ac:dyDescent="0.25">
      <c r="L33" s="18"/>
      <c r="N33" s="18"/>
      <c r="T33" s="18"/>
      <c r="W33" s="18"/>
    </row>
    <row r="34" spans="12:23" x14ac:dyDescent="0.25">
      <c r="L34" s="18"/>
      <c r="N34" s="18"/>
      <c r="T34" s="18"/>
      <c r="W34" s="18"/>
    </row>
    <row r="35" spans="12:23" x14ac:dyDescent="0.25">
      <c r="L35" s="18"/>
      <c r="N35" s="18"/>
      <c r="T35" s="18"/>
      <c r="W35" s="18"/>
    </row>
    <row r="36" spans="12:23" x14ac:dyDescent="0.25">
      <c r="L36" s="18"/>
      <c r="N36" s="18"/>
      <c r="T36" s="18"/>
      <c r="W36" s="18"/>
    </row>
    <row r="37" spans="12:23" x14ac:dyDescent="0.25">
      <c r="L37" s="18"/>
      <c r="N37" s="18"/>
      <c r="T37" s="18"/>
      <c r="W37" s="18"/>
    </row>
    <row r="38" spans="12:23" x14ac:dyDescent="0.25">
      <c r="L38" s="18"/>
      <c r="N38" s="18"/>
      <c r="T38" s="18"/>
      <c r="W38" s="18"/>
    </row>
    <row r="39" spans="12:23" x14ac:dyDescent="0.25">
      <c r="L39" s="18"/>
      <c r="N39" s="18"/>
      <c r="T39" s="18"/>
      <c r="W39" s="18"/>
    </row>
    <row r="40" spans="12:23" x14ac:dyDescent="0.25">
      <c r="L40" s="18"/>
      <c r="N40" s="18"/>
      <c r="T40" s="18"/>
      <c r="W40" s="18"/>
    </row>
    <row r="41" spans="12:23" x14ac:dyDescent="0.25">
      <c r="L41" s="18"/>
      <c r="N41" s="18"/>
      <c r="T41" s="18"/>
      <c r="W41" s="18"/>
    </row>
    <row r="42" spans="12:23" x14ac:dyDescent="0.25">
      <c r="L42" s="18"/>
      <c r="N42" s="18"/>
      <c r="T42" s="18"/>
      <c r="W42" s="19"/>
    </row>
    <row r="43" spans="12:23" x14ac:dyDescent="0.25">
      <c r="L43" s="18"/>
      <c r="N43" s="18"/>
      <c r="T43" s="18"/>
      <c r="W43" s="18"/>
    </row>
    <row r="44" spans="12:23" x14ac:dyDescent="0.25">
      <c r="L44" s="18"/>
      <c r="N44" s="18"/>
      <c r="T44" s="18"/>
      <c r="W44" s="18"/>
    </row>
    <row r="45" spans="12:23" x14ac:dyDescent="0.25">
      <c r="L45" s="18"/>
      <c r="N45" s="18"/>
      <c r="T45" s="18"/>
      <c r="W45" s="18"/>
    </row>
    <row r="46" spans="12:23" x14ac:dyDescent="0.25">
      <c r="L46" s="18"/>
      <c r="N46" s="18"/>
      <c r="T46" s="18"/>
      <c r="W46" s="19"/>
    </row>
    <row r="47" spans="12:23" x14ac:dyDescent="0.25">
      <c r="L47" s="18"/>
      <c r="N47" s="18"/>
      <c r="T47" s="18"/>
      <c r="W47" s="18"/>
    </row>
    <row r="48" spans="12:23" x14ac:dyDescent="0.25">
      <c r="L48" s="18"/>
      <c r="N48" s="18"/>
      <c r="T48" s="18"/>
      <c r="W48" s="18"/>
    </row>
    <row r="49" spans="12:23" x14ac:dyDescent="0.25">
      <c r="L49" s="18"/>
      <c r="N49" s="18"/>
      <c r="T49" s="18"/>
      <c r="W49" s="19"/>
    </row>
    <row r="50" spans="12:23" x14ac:dyDescent="0.25">
      <c r="L50" s="18"/>
      <c r="N50" s="18"/>
      <c r="T50" s="18"/>
      <c r="W50" s="19"/>
    </row>
    <row r="51" spans="12:23" x14ac:dyDescent="0.25">
      <c r="L51" s="18"/>
      <c r="N51" s="18"/>
      <c r="T51" s="18"/>
      <c r="W51" s="19"/>
    </row>
    <row r="52" spans="12:23" x14ac:dyDescent="0.25">
      <c r="L52" s="18"/>
      <c r="N52" s="18"/>
      <c r="T52" s="18"/>
      <c r="W52" s="19"/>
    </row>
    <row r="53" spans="12:23" x14ac:dyDescent="0.25">
      <c r="L53" s="18"/>
      <c r="N53" s="18"/>
      <c r="T53" s="18"/>
      <c r="W53" s="19"/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BC75-9DB9-4E66-8679-31713A9285E7}">
  <sheetPr codeName="Planilha5">
    <tabColor rgb="FF00B0F0"/>
  </sheetPr>
  <dimension ref="A1:AC40"/>
  <sheetViews>
    <sheetView workbookViewId="0">
      <selection activeCell="A3" sqref="A3:AC36"/>
    </sheetView>
  </sheetViews>
  <sheetFormatPr defaultRowHeight="15" x14ac:dyDescent="0.25"/>
  <cols>
    <col min="1" max="1" width="8.42578125" bestFit="1" customWidth="1"/>
    <col min="2" max="2" width="7.140625" bestFit="1" customWidth="1"/>
    <col min="3" max="3" width="5.42578125" bestFit="1" customWidth="1"/>
    <col min="4" max="4" width="6.7109375" bestFit="1" customWidth="1"/>
    <col min="5" max="5" width="11.140625" bestFit="1" customWidth="1"/>
    <col min="6" max="6" width="18.85546875" bestFit="1" customWidth="1"/>
    <col min="7" max="7" width="11.140625" bestFit="1" customWidth="1"/>
    <col min="8" max="8" width="8.7109375" bestFit="1" customWidth="1"/>
    <col min="9" max="9" width="7.85546875" bestFit="1" customWidth="1"/>
    <col min="10" max="10" width="8.42578125" bestFit="1" customWidth="1"/>
    <col min="11" max="11" width="10.140625" bestFit="1" customWidth="1"/>
    <col min="12" max="12" width="8.140625" bestFit="1" customWidth="1"/>
    <col min="13" max="13" width="10.140625" bestFit="1" customWidth="1"/>
    <col min="14" max="14" width="8.140625" bestFit="1" customWidth="1"/>
    <col min="15" max="15" width="15.85546875" bestFit="1" customWidth="1"/>
    <col min="16" max="16" width="9" bestFit="1" customWidth="1"/>
    <col min="17" max="17" width="5.5703125" bestFit="1" customWidth="1"/>
    <col min="20" max="20" width="8.140625" bestFit="1" customWidth="1"/>
    <col min="23" max="23" width="8.140625" bestFit="1" customWidth="1"/>
    <col min="24" max="24" width="2.140625" bestFit="1" customWidth="1"/>
    <col min="25" max="27" width="2" bestFit="1" customWidth="1"/>
    <col min="28" max="28" width="14" bestFit="1" customWidth="1"/>
    <col min="29" max="29" width="3" bestFit="1" customWidth="1"/>
  </cols>
  <sheetData>
    <row r="1" spans="1:29" ht="15.75" thickBot="1" x14ac:dyDescent="0.3">
      <c r="H1">
        <f>SUM(H3:H1048576)</f>
        <v>283.2</v>
      </c>
    </row>
    <row r="2" spans="1:29" s="30" customFormat="1" ht="15.75" thickBot="1" x14ac:dyDescent="0.3">
      <c r="A2" s="27" t="s">
        <v>29</v>
      </c>
      <c r="B2" s="28" t="s">
        <v>28</v>
      </c>
      <c r="C2" s="28" t="s">
        <v>27</v>
      </c>
      <c r="D2" s="28" t="s">
        <v>30</v>
      </c>
      <c r="E2" s="28" t="s">
        <v>31</v>
      </c>
      <c r="F2" s="28" t="s">
        <v>32</v>
      </c>
      <c r="G2" s="28" t="s">
        <v>33</v>
      </c>
      <c r="H2" s="28" t="s">
        <v>34</v>
      </c>
      <c r="I2" s="28" t="s">
        <v>35</v>
      </c>
      <c r="J2" s="29" t="s">
        <v>36</v>
      </c>
      <c r="K2" s="31"/>
    </row>
    <row r="3" spans="1:29" x14ac:dyDescent="0.25">
      <c r="A3">
        <v>129596782</v>
      </c>
      <c r="B3">
        <v>2029484416</v>
      </c>
      <c r="C3">
        <v>220</v>
      </c>
      <c r="E3" t="s">
        <v>8</v>
      </c>
      <c r="F3" t="s">
        <v>50</v>
      </c>
      <c r="G3">
        <v>1</v>
      </c>
      <c r="H3">
        <v>0.2</v>
      </c>
      <c r="I3">
        <v>0</v>
      </c>
      <c r="J3">
        <v>0.2</v>
      </c>
      <c r="K3" t="s">
        <v>68</v>
      </c>
      <c r="L3" s="18">
        <v>0</v>
      </c>
      <c r="M3" t="s">
        <v>68</v>
      </c>
      <c r="N3" s="18">
        <v>8.3333333333333332E-3</v>
      </c>
      <c r="O3" t="s">
        <v>15</v>
      </c>
      <c r="P3" t="s">
        <v>14</v>
      </c>
      <c r="Q3" t="s">
        <v>13</v>
      </c>
      <c r="T3" s="18">
        <v>0</v>
      </c>
      <c r="W3" s="18">
        <v>0</v>
      </c>
      <c r="Y3">
        <v>0</v>
      </c>
      <c r="Z3">
        <v>0</v>
      </c>
      <c r="AA3">
        <v>2</v>
      </c>
      <c r="AB3" t="s">
        <v>20</v>
      </c>
      <c r="AC3">
        <v>19</v>
      </c>
    </row>
    <row r="4" spans="1:29" x14ac:dyDescent="0.25">
      <c r="A4">
        <v>134282091</v>
      </c>
      <c r="B4">
        <v>2029780007</v>
      </c>
      <c r="C4">
        <v>2505</v>
      </c>
      <c r="E4" t="s">
        <v>8</v>
      </c>
      <c r="F4" t="s">
        <v>21</v>
      </c>
      <c r="G4">
        <v>1</v>
      </c>
      <c r="H4">
        <v>44</v>
      </c>
      <c r="I4">
        <v>0</v>
      </c>
      <c r="J4">
        <v>44</v>
      </c>
      <c r="K4" t="s">
        <v>68</v>
      </c>
      <c r="L4" s="18">
        <v>0.3125</v>
      </c>
      <c r="M4" t="s">
        <v>66</v>
      </c>
      <c r="N4" s="18">
        <v>0.6958333333333333</v>
      </c>
      <c r="O4" t="s">
        <v>11</v>
      </c>
      <c r="P4" t="s">
        <v>14</v>
      </c>
      <c r="Q4" t="s">
        <v>13</v>
      </c>
      <c r="T4" s="18">
        <v>0</v>
      </c>
      <c r="W4" s="18">
        <v>0</v>
      </c>
      <c r="Y4">
        <v>0</v>
      </c>
      <c r="Z4">
        <v>0</v>
      </c>
      <c r="AB4" t="s">
        <v>20</v>
      </c>
      <c r="AC4">
        <v>19</v>
      </c>
    </row>
    <row r="5" spans="1:29" x14ac:dyDescent="0.25">
      <c r="A5">
        <v>125755036</v>
      </c>
      <c r="B5">
        <v>2029900061</v>
      </c>
      <c r="C5">
        <v>1010</v>
      </c>
      <c r="E5" t="s">
        <v>8</v>
      </c>
      <c r="F5" t="s">
        <v>80</v>
      </c>
      <c r="G5">
        <v>2</v>
      </c>
      <c r="H5">
        <v>4</v>
      </c>
      <c r="I5">
        <v>0</v>
      </c>
      <c r="J5">
        <v>2</v>
      </c>
      <c r="K5" t="s">
        <v>68</v>
      </c>
      <c r="L5" s="18">
        <v>0</v>
      </c>
      <c r="M5" t="s">
        <v>68</v>
      </c>
      <c r="N5" s="18">
        <v>8.3333333333333329E-2</v>
      </c>
      <c r="O5" t="s">
        <v>11</v>
      </c>
      <c r="P5" t="s">
        <v>12</v>
      </c>
      <c r="Q5" t="s">
        <v>13</v>
      </c>
      <c r="T5" s="18">
        <v>0</v>
      </c>
      <c r="W5" s="18">
        <v>0</v>
      </c>
      <c r="Y5">
        <v>0</v>
      </c>
      <c r="Z5">
        <v>0</v>
      </c>
      <c r="AC5">
        <v>19</v>
      </c>
    </row>
    <row r="6" spans="1:29" x14ac:dyDescent="0.25">
      <c r="A6">
        <v>127519871</v>
      </c>
      <c r="B6">
        <v>2030329233</v>
      </c>
      <c r="C6">
        <v>20</v>
      </c>
      <c r="D6">
        <v>10</v>
      </c>
      <c r="E6" t="s">
        <v>8</v>
      </c>
      <c r="F6" t="s">
        <v>81</v>
      </c>
      <c r="G6">
        <v>1</v>
      </c>
      <c r="H6">
        <v>2</v>
      </c>
      <c r="I6">
        <v>0</v>
      </c>
      <c r="J6">
        <v>2</v>
      </c>
      <c r="K6" t="s">
        <v>68</v>
      </c>
      <c r="L6" s="18">
        <v>0</v>
      </c>
      <c r="M6" t="s">
        <v>68</v>
      </c>
      <c r="N6" s="18">
        <v>8.3333333333333329E-2</v>
      </c>
      <c r="O6" t="s">
        <v>11</v>
      </c>
      <c r="P6" t="s">
        <v>14</v>
      </c>
      <c r="Q6" t="s">
        <v>13</v>
      </c>
      <c r="T6" s="18">
        <v>0</v>
      </c>
      <c r="W6" s="18">
        <v>0</v>
      </c>
      <c r="Y6">
        <v>0</v>
      </c>
      <c r="Z6">
        <v>0</v>
      </c>
      <c r="AA6">
        <v>2</v>
      </c>
      <c r="AB6" t="s">
        <v>20</v>
      </c>
      <c r="AC6">
        <v>19</v>
      </c>
    </row>
    <row r="7" spans="1:29" x14ac:dyDescent="0.25">
      <c r="A7">
        <v>127519878</v>
      </c>
      <c r="B7">
        <v>2030329233</v>
      </c>
      <c r="C7">
        <v>70</v>
      </c>
      <c r="D7">
        <v>10</v>
      </c>
      <c r="E7" t="s">
        <v>8</v>
      </c>
      <c r="F7" t="s">
        <v>82</v>
      </c>
      <c r="G7">
        <v>1</v>
      </c>
      <c r="H7">
        <v>2</v>
      </c>
      <c r="I7">
        <v>0</v>
      </c>
      <c r="J7">
        <v>2</v>
      </c>
      <c r="K7" t="s">
        <v>68</v>
      </c>
      <c r="L7" s="18">
        <v>0</v>
      </c>
      <c r="M7" t="s">
        <v>68</v>
      </c>
      <c r="N7" s="18">
        <v>8.3333333333333329E-2</v>
      </c>
      <c r="O7" t="s">
        <v>11</v>
      </c>
      <c r="P7" t="s">
        <v>14</v>
      </c>
      <c r="Q7" t="s">
        <v>13</v>
      </c>
      <c r="T7" s="18">
        <v>0</v>
      </c>
      <c r="W7" s="18">
        <v>0</v>
      </c>
      <c r="Y7">
        <v>0</v>
      </c>
      <c r="Z7">
        <v>0</v>
      </c>
      <c r="AA7">
        <v>2</v>
      </c>
      <c r="AB7" t="s">
        <v>20</v>
      </c>
      <c r="AC7">
        <v>19</v>
      </c>
    </row>
    <row r="8" spans="1:29" x14ac:dyDescent="0.25">
      <c r="A8">
        <v>127519880</v>
      </c>
      <c r="B8">
        <v>2030329233</v>
      </c>
      <c r="C8">
        <v>80</v>
      </c>
      <c r="D8">
        <v>10</v>
      </c>
      <c r="E8" t="s">
        <v>8</v>
      </c>
      <c r="F8" t="s">
        <v>82</v>
      </c>
      <c r="G8">
        <v>1</v>
      </c>
      <c r="H8">
        <v>4</v>
      </c>
      <c r="I8">
        <v>0</v>
      </c>
      <c r="J8">
        <v>4</v>
      </c>
      <c r="K8" t="s">
        <v>68</v>
      </c>
      <c r="L8" s="18">
        <v>0</v>
      </c>
      <c r="M8" t="s">
        <v>68</v>
      </c>
      <c r="N8" s="18">
        <v>0.16666666666666666</v>
      </c>
      <c r="O8" t="s">
        <v>11</v>
      </c>
      <c r="P8" t="s">
        <v>14</v>
      </c>
      <c r="Q8" t="s">
        <v>13</v>
      </c>
      <c r="T8" s="18">
        <v>0</v>
      </c>
      <c r="W8" s="18">
        <v>0</v>
      </c>
      <c r="Y8">
        <v>0</v>
      </c>
      <c r="Z8">
        <v>0</v>
      </c>
      <c r="AA8">
        <v>2</v>
      </c>
      <c r="AB8" t="s">
        <v>20</v>
      </c>
      <c r="AC8">
        <v>19</v>
      </c>
    </row>
    <row r="9" spans="1:29" x14ac:dyDescent="0.25">
      <c r="A9">
        <v>127519882</v>
      </c>
      <c r="B9">
        <v>2030329233</v>
      </c>
      <c r="C9">
        <v>90</v>
      </c>
      <c r="D9">
        <v>10</v>
      </c>
      <c r="E9" t="s">
        <v>8</v>
      </c>
      <c r="F9" t="s">
        <v>82</v>
      </c>
      <c r="G9">
        <v>1</v>
      </c>
      <c r="H9">
        <v>4</v>
      </c>
      <c r="I9">
        <v>0</v>
      </c>
      <c r="J9">
        <v>4</v>
      </c>
      <c r="K9" t="s">
        <v>68</v>
      </c>
      <c r="L9" s="18">
        <v>8.3333333333333329E-2</v>
      </c>
      <c r="M9" t="s">
        <v>68</v>
      </c>
      <c r="N9" s="18">
        <v>0.25</v>
      </c>
      <c r="O9" t="s">
        <v>11</v>
      </c>
      <c r="P9" t="s">
        <v>14</v>
      </c>
      <c r="Q9" t="s">
        <v>13</v>
      </c>
      <c r="T9" s="18">
        <v>0</v>
      </c>
      <c r="W9" s="18">
        <v>0</v>
      </c>
      <c r="Y9">
        <v>0</v>
      </c>
      <c r="Z9">
        <v>0</v>
      </c>
      <c r="AA9">
        <v>2</v>
      </c>
      <c r="AB9" t="s">
        <v>20</v>
      </c>
      <c r="AC9">
        <v>19</v>
      </c>
    </row>
    <row r="10" spans="1:29" x14ac:dyDescent="0.25">
      <c r="A10">
        <v>127519887</v>
      </c>
      <c r="B10">
        <v>2030329233</v>
      </c>
      <c r="C10">
        <v>500</v>
      </c>
      <c r="D10">
        <v>10</v>
      </c>
      <c r="E10" t="s">
        <v>8</v>
      </c>
      <c r="F10" t="s">
        <v>82</v>
      </c>
      <c r="G10">
        <v>1</v>
      </c>
      <c r="H10">
        <v>3</v>
      </c>
      <c r="I10">
        <v>0</v>
      </c>
      <c r="J10">
        <v>3</v>
      </c>
      <c r="K10" t="s">
        <v>68</v>
      </c>
      <c r="L10" s="18">
        <v>0.25</v>
      </c>
      <c r="M10" t="s">
        <v>68</v>
      </c>
      <c r="N10" s="18">
        <v>0.375</v>
      </c>
      <c r="O10" t="s">
        <v>11</v>
      </c>
      <c r="P10" t="s">
        <v>14</v>
      </c>
      <c r="Q10" t="s">
        <v>13</v>
      </c>
      <c r="T10" s="18">
        <v>0</v>
      </c>
      <c r="W10" s="18">
        <v>0</v>
      </c>
      <c r="Y10">
        <v>0</v>
      </c>
      <c r="Z10">
        <v>0</v>
      </c>
      <c r="AA10">
        <v>2</v>
      </c>
      <c r="AB10" t="s">
        <v>20</v>
      </c>
      <c r="AC10">
        <v>19</v>
      </c>
    </row>
    <row r="11" spans="1:29" x14ac:dyDescent="0.25">
      <c r="A11">
        <v>127519890</v>
      </c>
      <c r="B11">
        <v>2030329233</v>
      </c>
      <c r="C11">
        <v>520</v>
      </c>
      <c r="D11">
        <v>10</v>
      </c>
      <c r="E11" t="s">
        <v>8</v>
      </c>
      <c r="F11" t="s">
        <v>82</v>
      </c>
      <c r="G11">
        <v>1</v>
      </c>
      <c r="H11">
        <v>6</v>
      </c>
      <c r="I11">
        <v>0</v>
      </c>
      <c r="J11">
        <v>6</v>
      </c>
      <c r="K11" t="s">
        <v>68</v>
      </c>
      <c r="L11" s="18">
        <v>0</v>
      </c>
      <c r="M11" t="s">
        <v>68</v>
      </c>
      <c r="N11" s="18">
        <v>0.25</v>
      </c>
      <c r="O11" t="s">
        <v>11</v>
      </c>
      <c r="P11" t="s">
        <v>14</v>
      </c>
      <c r="Q11" t="s">
        <v>13</v>
      </c>
      <c r="T11" s="18">
        <v>0</v>
      </c>
      <c r="W11" s="18">
        <v>0</v>
      </c>
      <c r="Y11">
        <v>0</v>
      </c>
      <c r="Z11">
        <v>0</v>
      </c>
      <c r="AA11">
        <v>2</v>
      </c>
      <c r="AB11" t="s">
        <v>20</v>
      </c>
      <c r="AC11">
        <v>19</v>
      </c>
    </row>
    <row r="12" spans="1:29" x14ac:dyDescent="0.25">
      <c r="A12">
        <v>127519894</v>
      </c>
      <c r="B12">
        <v>2030329233</v>
      </c>
      <c r="C12">
        <v>550</v>
      </c>
      <c r="D12">
        <v>10</v>
      </c>
      <c r="E12" t="s">
        <v>8</v>
      </c>
      <c r="F12" t="s">
        <v>83</v>
      </c>
      <c r="G12">
        <v>1</v>
      </c>
      <c r="H12">
        <v>4</v>
      </c>
      <c r="I12">
        <v>0</v>
      </c>
      <c r="J12">
        <v>4</v>
      </c>
      <c r="K12" t="s">
        <v>68</v>
      </c>
      <c r="L12" s="18">
        <v>0</v>
      </c>
      <c r="M12" t="s">
        <v>68</v>
      </c>
      <c r="N12" s="18">
        <v>0.16666666666666666</v>
      </c>
      <c r="O12" t="s">
        <v>11</v>
      </c>
      <c r="P12" t="s">
        <v>14</v>
      </c>
      <c r="Q12" t="s">
        <v>13</v>
      </c>
      <c r="T12" s="18">
        <v>0</v>
      </c>
      <c r="W12" s="18">
        <v>0</v>
      </c>
      <c r="Y12">
        <v>0</v>
      </c>
      <c r="Z12">
        <v>0</v>
      </c>
      <c r="AA12">
        <v>2</v>
      </c>
      <c r="AB12" t="s">
        <v>20</v>
      </c>
      <c r="AC12">
        <v>19</v>
      </c>
    </row>
    <row r="13" spans="1:29" x14ac:dyDescent="0.25">
      <c r="A13">
        <v>127519885</v>
      </c>
      <c r="B13">
        <v>2030329233</v>
      </c>
      <c r="C13">
        <v>100</v>
      </c>
      <c r="D13">
        <v>20</v>
      </c>
      <c r="E13" t="s">
        <v>8</v>
      </c>
      <c r="F13" t="s">
        <v>82</v>
      </c>
      <c r="G13">
        <v>1</v>
      </c>
      <c r="H13">
        <v>4</v>
      </c>
      <c r="I13">
        <v>0</v>
      </c>
      <c r="J13">
        <v>4</v>
      </c>
      <c r="K13" t="s">
        <v>68</v>
      </c>
      <c r="L13" s="18">
        <v>0</v>
      </c>
      <c r="M13" t="s">
        <v>68</v>
      </c>
      <c r="N13" s="18">
        <v>0.16666666666666666</v>
      </c>
      <c r="O13" t="s">
        <v>11</v>
      </c>
      <c r="P13" t="s">
        <v>14</v>
      </c>
      <c r="Q13" t="s">
        <v>13</v>
      </c>
      <c r="T13" s="18">
        <v>0</v>
      </c>
      <c r="W13" s="18">
        <v>0</v>
      </c>
      <c r="Y13">
        <v>0</v>
      </c>
      <c r="Z13">
        <v>0</v>
      </c>
      <c r="AA13">
        <v>2</v>
      </c>
      <c r="AB13" t="s">
        <v>20</v>
      </c>
      <c r="AC13">
        <v>19</v>
      </c>
    </row>
    <row r="14" spans="1:29" x14ac:dyDescent="0.25">
      <c r="A14">
        <v>127519874</v>
      </c>
      <c r="B14">
        <v>2030329233</v>
      </c>
      <c r="C14">
        <v>50</v>
      </c>
      <c r="E14" t="s">
        <v>8</v>
      </c>
      <c r="F14" t="s">
        <v>84</v>
      </c>
      <c r="G14">
        <v>2</v>
      </c>
      <c r="H14">
        <v>4</v>
      </c>
      <c r="I14">
        <v>0</v>
      </c>
      <c r="J14">
        <v>2</v>
      </c>
      <c r="K14" t="s">
        <v>68</v>
      </c>
      <c r="L14" s="18">
        <v>0</v>
      </c>
      <c r="M14" t="s">
        <v>68</v>
      </c>
      <c r="N14" s="18">
        <v>8.3333333333333329E-2</v>
      </c>
      <c r="O14" t="s">
        <v>11</v>
      </c>
      <c r="P14" t="s">
        <v>14</v>
      </c>
      <c r="Q14" t="s">
        <v>13</v>
      </c>
      <c r="T14" s="18">
        <v>0</v>
      </c>
      <c r="W14" s="18">
        <v>0</v>
      </c>
      <c r="Y14">
        <v>0</v>
      </c>
      <c r="Z14">
        <v>0</v>
      </c>
      <c r="AA14">
        <v>2</v>
      </c>
      <c r="AB14" t="s">
        <v>20</v>
      </c>
      <c r="AC14">
        <v>19</v>
      </c>
    </row>
    <row r="15" spans="1:29" x14ac:dyDescent="0.25">
      <c r="A15">
        <v>127519879</v>
      </c>
      <c r="B15">
        <v>2030329233</v>
      </c>
      <c r="C15">
        <v>80</v>
      </c>
      <c r="E15" t="s">
        <v>8</v>
      </c>
      <c r="F15" t="s">
        <v>85</v>
      </c>
      <c r="G15">
        <v>2</v>
      </c>
      <c r="H15">
        <v>8</v>
      </c>
      <c r="I15">
        <v>0</v>
      </c>
      <c r="J15">
        <v>4</v>
      </c>
      <c r="K15" t="s">
        <v>68</v>
      </c>
      <c r="L15" s="18">
        <v>0</v>
      </c>
      <c r="M15" t="s">
        <v>68</v>
      </c>
      <c r="N15" s="18">
        <v>0.16666666666666666</v>
      </c>
      <c r="O15" t="s">
        <v>11</v>
      </c>
      <c r="P15" t="s">
        <v>14</v>
      </c>
      <c r="Q15" t="s">
        <v>13</v>
      </c>
      <c r="T15" s="18">
        <v>0</v>
      </c>
      <c r="W15" s="18">
        <v>0</v>
      </c>
      <c r="Y15">
        <v>0</v>
      </c>
      <c r="Z15">
        <v>0</v>
      </c>
      <c r="AA15">
        <v>2</v>
      </c>
      <c r="AB15" t="s">
        <v>20</v>
      </c>
      <c r="AC15">
        <v>19</v>
      </c>
    </row>
    <row r="16" spans="1:29" x14ac:dyDescent="0.25">
      <c r="A16">
        <v>127519889</v>
      </c>
      <c r="B16">
        <v>2030329233</v>
      </c>
      <c r="C16">
        <v>520</v>
      </c>
      <c r="E16" t="s">
        <v>8</v>
      </c>
      <c r="F16" t="s">
        <v>86</v>
      </c>
      <c r="G16">
        <v>2</v>
      </c>
      <c r="H16">
        <v>12</v>
      </c>
      <c r="I16">
        <v>0</v>
      </c>
      <c r="J16">
        <v>6</v>
      </c>
      <c r="K16" t="s">
        <v>68</v>
      </c>
      <c r="L16" s="18">
        <v>0</v>
      </c>
      <c r="M16" t="s">
        <v>68</v>
      </c>
      <c r="N16" s="18">
        <v>0.25</v>
      </c>
      <c r="O16" t="s">
        <v>11</v>
      </c>
      <c r="P16" t="s">
        <v>14</v>
      </c>
      <c r="Q16" t="s">
        <v>13</v>
      </c>
      <c r="T16" s="18">
        <v>0</v>
      </c>
      <c r="W16" s="18">
        <v>0</v>
      </c>
      <c r="Y16">
        <v>0</v>
      </c>
      <c r="Z16">
        <v>0</v>
      </c>
      <c r="AA16">
        <v>2</v>
      </c>
      <c r="AB16" t="s">
        <v>20</v>
      </c>
      <c r="AC16">
        <v>19</v>
      </c>
    </row>
    <row r="17" spans="1:29" x14ac:dyDescent="0.25">
      <c r="A17">
        <v>134195306</v>
      </c>
      <c r="B17">
        <v>2030707957</v>
      </c>
      <c r="C17">
        <v>230</v>
      </c>
      <c r="E17" t="s">
        <v>8</v>
      </c>
      <c r="F17" t="s">
        <v>51</v>
      </c>
      <c r="G17">
        <v>2</v>
      </c>
      <c r="H17">
        <v>4</v>
      </c>
      <c r="I17">
        <v>0</v>
      </c>
      <c r="J17">
        <v>2</v>
      </c>
      <c r="K17" t="s">
        <v>68</v>
      </c>
      <c r="L17" s="18">
        <v>0.3125</v>
      </c>
      <c r="M17" t="s">
        <v>68</v>
      </c>
      <c r="N17" s="18">
        <v>0.39583333333333331</v>
      </c>
      <c r="O17" t="s">
        <v>11</v>
      </c>
      <c r="P17" t="s">
        <v>14</v>
      </c>
      <c r="Q17" t="s">
        <v>13</v>
      </c>
      <c r="T17" s="18">
        <v>0</v>
      </c>
      <c r="W17" s="18">
        <v>0</v>
      </c>
      <c r="Y17">
        <v>0</v>
      </c>
      <c r="Z17">
        <v>0</v>
      </c>
      <c r="AC17">
        <v>19</v>
      </c>
    </row>
    <row r="18" spans="1:29" x14ac:dyDescent="0.25">
      <c r="A18">
        <v>134624688</v>
      </c>
      <c r="B18">
        <v>2030707957</v>
      </c>
      <c r="C18">
        <v>300</v>
      </c>
      <c r="E18" t="s">
        <v>8</v>
      </c>
      <c r="F18" t="s">
        <v>51</v>
      </c>
      <c r="G18">
        <v>2</v>
      </c>
      <c r="H18">
        <v>4</v>
      </c>
      <c r="I18">
        <v>0</v>
      </c>
      <c r="J18">
        <v>2</v>
      </c>
      <c r="K18" t="s">
        <v>68</v>
      </c>
      <c r="L18" s="18">
        <v>0.3125</v>
      </c>
      <c r="M18" t="s">
        <v>68</v>
      </c>
      <c r="N18" s="18">
        <v>0.39583333333333331</v>
      </c>
      <c r="O18" t="s">
        <v>11</v>
      </c>
      <c r="P18" t="s">
        <v>14</v>
      </c>
      <c r="Q18" t="s">
        <v>13</v>
      </c>
      <c r="T18" s="18">
        <v>0</v>
      </c>
      <c r="W18" s="18">
        <v>0</v>
      </c>
      <c r="Y18">
        <v>0</v>
      </c>
      <c r="Z18">
        <v>0</v>
      </c>
      <c r="AC18">
        <v>19</v>
      </c>
    </row>
    <row r="19" spans="1:29" x14ac:dyDescent="0.25">
      <c r="A19">
        <v>132685318</v>
      </c>
      <c r="B19">
        <v>2031202862</v>
      </c>
      <c r="C19">
        <v>30</v>
      </c>
      <c r="E19" t="s">
        <v>8</v>
      </c>
      <c r="F19" t="s">
        <v>92</v>
      </c>
      <c r="G19">
        <v>2</v>
      </c>
      <c r="H19">
        <v>4</v>
      </c>
      <c r="I19">
        <v>0</v>
      </c>
      <c r="J19">
        <v>2</v>
      </c>
      <c r="K19" t="s">
        <v>68</v>
      </c>
      <c r="L19" s="18">
        <v>0.62083333333333335</v>
      </c>
      <c r="M19" t="s">
        <v>68</v>
      </c>
      <c r="N19" s="18">
        <v>0.6875</v>
      </c>
      <c r="O19" t="s">
        <v>17</v>
      </c>
      <c r="P19" t="s">
        <v>14</v>
      </c>
      <c r="Q19" t="s">
        <v>13</v>
      </c>
      <c r="T19" s="18">
        <v>0</v>
      </c>
      <c r="W19" s="19">
        <v>1</v>
      </c>
      <c r="X19" t="s">
        <v>24</v>
      </c>
      <c r="Y19">
        <v>0</v>
      </c>
      <c r="Z19">
        <v>0</v>
      </c>
      <c r="AC19">
        <v>19</v>
      </c>
    </row>
    <row r="20" spans="1:29" x14ac:dyDescent="0.25">
      <c r="A20">
        <v>133107771</v>
      </c>
      <c r="B20">
        <v>2031240660</v>
      </c>
      <c r="C20">
        <v>410</v>
      </c>
      <c r="D20">
        <v>10</v>
      </c>
      <c r="E20" t="s">
        <v>8</v>
      </c>
      <c r="F20" t="s">
        <v>96</v>
      </c>
      <c r="G20">
        <v>1</v>
      </c>
      <c r="H20">
        <v>4</v>
      </c>
      <c r="I20">
        <v>0</v>
      </c>
      <c r="J20">
        <v>4</v>
      </c>
      <c r="K20" t="s">
        <v>68</v>
      </c>
      <c r="L20" s="18">
        <v>0</v>
      </c>
      <c r="M20" t="s">
        <v>68</v>
      </c>
      <c r="N20" s="18">
        <v>0.16666666666666666</v>
      </c>
      <c r="O20" t="s">
        <v>11</v>
      </c>
      <c r="P20" t="s">
        <v>14</v>
      </c>
      <c r="Q20" t="s">
        <v>13</v>
      </c>
      <c r="T20" s="18">
        <v>0</v>
      </c>
      <c r="W20" s="18">
        <v>0</v>
      </c>
      <c r="Y20">
        <v>0</v>
      </c>
      <c r="Z20">
        <v>0</v>
      </c>
      <c r="AA20">
        <v>2</v>
      </c>
      <c r="AB20" t="s">
        <v>20</v>
      </c>
      <c r="AC20">
        <v>19</v>
      </c>
    </row>
    <row r="21" spans="1:29" x14ac:dyDescent="0.25">
      <c r="A21">
        <v>133107775</v>
      </c>
      <c r="B21">
        <v>2031240660</v>
      </c>
      <c r="C21">
        <v>450</v>
      </c>
      <c r="D21">
        <v>10</v>
      </c>
      <c r="E21" t="s">
        <v>8</v>
      </c>
      <c r="F21" t="s">
        <v>96</v>
      </c>
      <c r="G21">
        <v>1</v>
      </c>
      <c r="H21">
        <v>2</v>
      </c>
      <c r="I21">
        <v>0</v>
      </c>
      <c r="J21">
        <v>2</v>
      </c>
      <c r="K21" t="s">
        <v>68</v>
      </c>
      <c r="L21" s="18">
        <v>0</v>
      </c>
      <c r="M21" t="s">
        <v>68</v>
      </c>
      <c r="N21" s="18">
        <v>8.3333333333333329E-2</v>
      </c>
      <c r="O21" t="s">
        <v>11</v>
      </c>
      <c r="P21" t="s">
        <v>14</v>
      </c>
      <c r="Q21" t="s">
        <v>13</v>
      </c>
      <c r="T21" s="18">
        <v>0</v>
      </c>
      <c r="W21" s="18">
        <v>0</v>
      </c>
      <c r="Y21">
        <v>0</v>
      </c>
      <c r="Z21">
        <v>0</v>
      </c>
      <c r="AA21">
        <v>2</v>
      </c>
      <c r="AB21" t="s">
        <v>20</v>
      </c>
      <c r="AC21">
        <v>19</v>
      </c>
    </row>
    <row r="22" spans="1:29" x14ac:dyDescent="0.25">
      <c r="A22">
        <v>133107768</v>
      </c>
      <c r="B22">
        <v>2031240660</v>
      </c>
      <c r="C22">
        <v>390</v>
      </c>
      <c r="E22" t="s">
        <v>8</v>
      </c>
      <c r="F22" t="s">
        <v>97</v>
      </c>
      <c r="G22">
        <v>2</v>
      </c>
      <c r="H22">
        <v>4</v>
      </c>
      <c r="I22">
        <v>0</v>
      </c>
      <c r="J22">
        <v>2</v>
      </c>
      <c r="K22" t="s">
        <v>68</v>
      </c>
      <c r="L22" s="18">
        <v>0</v>
      </c>
      <c r="M22" t="s">
        <v>68</v>
      </c>
      <c r="N22" s="18">
        <v>8.3333333333333329E-2</v>
      </c>
      <c r="O22" t="s">
        <v>11</v>
      </c>
      <c r="P22" t="s">
        <v>14</v>
      </c>
      <c r="Q22" t="s">
        <v>13</v>
      </c>
      <c r="T22" s="18">
        <v>0</v>
      </c>
      <c r="W22" s="18">
        <v>0</v>
      </c>
      <c r="Y22">
        <v>0</v>
      </c>
      <c r="Z22">
        <v>0</v>
      </c>
      <c r="AA22">
        <v>2</v>
      </c>
      <c r="AB22" t="s">
        <v>20</v>
      </c>
      <c r="AC22">
        <v>19</v>
      </c>
    </row>
    <row r="23" spans="1:29" x14ac:dyDescent="0.25">
      <c r="A23">
        <v>133107770</v>
      </c>
      <c r="B23">
        <v>2031240660</v>
      </c>
      <c r="C23">
        <v>410</v>
      </c>
      <c r="E23" t="s">
        <v>8</v>
      </c>
      <c r="F23" t="s">
        <v>98</v>
      </c>
      <c r="G23">
        <v>2</v>
      </c>
      <c r="H23">
        <v>8</v>
      </c>
      <c r="I23">
        <v>0</v>
      </c>
      <c r="J23">
        <v>4</v>
      </c>
      <c r="K23" t="s">
        <v>68</v>
      </c>
      <c r="L23" s="18">
        <v>0</v>
      </c>
      <c r="M23" t="s">
        <v>68</v>
      </c>
      <c r="N23" s="18">
        <v>0.16666666666666666</v>
      </c>
      <c r="O23" t="s">
        <v>11</v>
      </c>
      <c r="P23" t="s">
        <v>14</v>
      </c>
      <c r="Q23" t="s">
        <v>13</v>
      </c>
      <c r="T23" s="18">
        <v>0</v>
      </c>
      <c r="W23" s="18">
        <v>0</v>
      </c>
      <c r="Y23">
        <v>0</v>
      </c>
      <c r="Z23">
        <v>0</v>
      </c>
      <c r="AA23">
        <v>2</v>
      </c>
      <c r="AB23" t="s">
        <v>20</v>
      </c>
      <c r="AC23">
        <v>19</v>
      </c>
    </row>
    <row r="24" spans="1:29" x14ac:dyDescent="0.25">
      <c r="A24">
        <v>133107773</v>
      </c>
      <c r="B24">
        <v>2031240660</v>
      </c>
      <c r="C24">
        <v>440</v>
      </c>
      <c r="E24" t="s">
        <v>8</v>
      </c>
      <c r="F24" t="s">
        <v>96</v>
      </c>
      <c r="G24">
        <v>1</v>
      </c>
      <c r="H24">
        <v>6</v>
      </c>
      <c r="I24">
        <v>0</v>
      </c>
      <c r="J24">
        <v>6</v>
      </c>
      <c r="K24" t="s">
        <v>68</v>
      </c>
      <c r="L24" s="18">
        <v>0</v>
      </c>
      <c r="M24" t="s">
        <v>68</v>
      </c>
      <c r="N24" s="18">
        <v>0.25</v>
      </c>
      <c r="O24" t="s">
        <v>11</v>
      </c>
      <c r="P24" t="s">
        <v>14</v>
      </c>
      <c r="Q24" t="s">
        <v>13</v>
      </c>
      <c r="T24" s="18">
        <v>0</v>
      </c>
      <c r="W24" s="18">
        <v>0</v>
      </c>
      <c r="Y24">
        <v>0</v>
      </c>
      <c r="Z24">
        <v>0</v>
      </c>
      <c r="AA24">
        <v>2</v>
      </c>
      <c r="AB24" t="s">
        <v>20</v>
      </c>
      <c r="AC24">
        <v>19</v>
      </c>
    </row>
    <row r="25" spans="1:29" x14ac:dyDescent="0.25">
      <c r="A25">
        <v>133107776</v>
      </c>
      <c r="B25">
        <v>2031240660</v>
      </c>
      <c r="C25">
        <v>470</v>
      </c>
      <c r="E25" t="s">
        <v>8</v>
      </c>
      <c r="F25" t="s">
        <v>99</v>
      </c>
      <c r="G25">
        <v>2</v>
      </c>
      <c r="H25">
        <v>4</v>
      </c>
      <c r="I25">
        <v>0</v>
      </c>
      <c r="J25">
        <v>2</v>
      </c>
      <c r="K25" t="s">
        <v>68</v>
      </c>
      <c r="L25" s="18">
        <v>0</v>
      </c>
      <c r="M25" t="s">
        <v>68</v>
      </c>
      <c r="N25" s="18">
        <v>8.3333333333333329E-2</v>
      </c>
      <c r="O25" t="s">
        <v>11</v>
      </c>
      <c r="P25" t="s">
        <v>14</v>
      </c>
      <c r="Q25" t="s">
        <v>13</v>
      </c>
      <c r="T25" s="18">
        <v>0</v>
      </c>
      <c r="W25" s="18">
        <v>0</v>
      </c>
      <c r="Y25">
        <v>0</v>
      </c>
      <c r="Z25">
        <v>0</v>
      </c>
      <c r="AA25">
        <v>2</v>
      </c>
      <c r="AB25" t="s">
        <v>20</v>
      </c>
      <c r="AC25">
        <v>19</v>
      </c>
    </row>
    <row r="26" spans="1:29" x14ac:dyDescent="0.25">
      <c r="A26">
        <v>133107777</v>
      </c>
      <c r="B26">
        <v>2031240660</v>
      </c>
      <c r="C26">
        <v>480</v>
      </c>
      <c r="E26" t="s">
        <v>8</v>
      </c>
      <c r="F26" t="s">
        <v>100</v>
      </c>
      <c r="G26">
        <v>2</v>
      </c>
      <c r="H26">
        <v>4</v>
      </c>
      <c r="I26">
        <v>0</v>
      </c>
      <c r="J26">
        <v>2</v>
      </c>
      <c r="K26" t="s">
        <v>68</v>
      </c>
      <c r="L26" s="18">
        <v>0</v>
      </c>
      <c r="M26" t="s">
        <v>68</v>
      </c>
      <c r="N26" s="18">
        <v>8.3333333333333329E-2</v>
      </c>
      <c r="O26" t="s">
        <v>11</v>
      </c>
      <c r="P26" t="s">
        <v>14</v>
      </c>
      <c r="Q26" t="s">
        <v>13</v>
      </c>
      <c r="T26" s="18">
        <v>0</v>
      </c>
      <c r="W26" s="18">
        <v>0</v>
      </c>
      <c r="Y26">
        <v>0</v>
      </c>
      <c r="Z26">
        <v>0</v>
      </c>
      <c r="AA26">
        <v>2</v>
      </c>
      <c r="AB26" t="s">
        <v>20</v>
      </c>
      <c r="AC26">
        <v>19</v>
      </c>
    </row>
    <row r="27" spans="1:29" x14ac:dyDescent="0.25">
      <c r="A27">
        <v>133107778</v>
      </c>
      <c r="B27">
        <v>2031240660</v>
      </c>
      <c r="C27">
        <v>490</v>
      </c>
      <c r="E27" t="s">
        <v>8</v>
      </c>
      <c r="F27" t="s">
        <v>101</v>
      </c>
      <c r="G27">
        <v>2</v>
      </c>
      <c r="H27">
        <v>4</v>
      </c>
      <c r="I27">
        <v>0</v>
      </c>
      <c r="J27">
        <v>2</v>
      </c>
      <c r="K27" t="s">
        <v>68</v>
      </c>
      <c r="L27" s="18">
        <v>0</v>
      </c>
      <c r="M27" t="s">
        <v>68</v>
      </c>
      <c r="N27" s="18">
        <v>8.3333333333333329E-2</v>
      </c>
      <c r="O27" t="s">
        <v>11</v>
      </c>
      <c r="P27" t="s">
        <v>14</v>
      </c>
      <c r="Q27" t="s">
        <v>13</v>
      </c>
      <c r="T27" s="18">
        <v>0</v>
      </c>
      <c r="W27" s="18">
        <v>0</v>
      </c>
      <c r="Y27">
        <v>0</v>
      </c>
      <c r="Z27">
        <v>0</v>
      </c>
      <c r="AA27">
        <v>2</v>
      </c>
      <c r="AB27" t="s">
        <v>20</v>
      </c>
      <c r="AC27">
        <v>19</v>
      </c>
    </row>
    <row r="28" spans="1:29" x14ac:dyDescent="0.25">
      <c r="A28">
        <v>133425167</v>
      </c>
      <c r="B28">
        <v>2031265635</v>
      </c>
      <c r="C28">
        <v>160</v>
      </c>
      <c r="D28">
        <v>10</v>
      </c>
      <c r="E28" t="s">
        <v>8</v>
      </c>
      <c r="F28" t="s">
        <v>102</v>
      </c>
      <c r="G28">
        <v>1</v>
      </c>
      <c r="H28">
        <v>6</v>
      </c>
      <c r="I28">
        <v>0</v>
      </c>
      <c r="J28">
        <v>6</v>
      </c>
      <c r="K28" t="s">
        <v>68</v>
      </c>
      <c r="L28" s="18">
        <v>0.16666666666666666</v>
      </c>
      <c r="M28" t="s">
        <v>68</v>
      </c>
      <c r="N28" s="18">
        <v>0.41666666666666669</v>
      </c>
      <c r="O28" t="s">
        <v>11</v>
      </c>
      <c r="P28" t="s">
        <v>12</v>
      </c>
      <c r="Q28" t="s">
        <v>13</v>
      </c>
      <c r="T28" s="18">
        <v>0</v>
      </c>
      <c r="W28" s="18">
        <v>0</v>
      </c>
      <c r="Y28">
        <v>0</v>
      </c>
      <c r="Z28">
        <v>0</v>
      </c>
      <c r="AB28" t="s">
        <v>20</v>
      </c>
      <c r="AC28">
        <v>19</v>
      </c>
    </row>
    <row r="29" spans="1:29" x14ac:dyDescent="0.25">
      <c r="A29">
        <v>133425170</v>
      </c>
      <c r="B29">
        <v>2031265635</v>
      </c>
      <c r="C29">
        <v>180</v>
      </c>
      <c r="E29" t="s">
        <v>8</v>
      </c>
      <c r="F29" t="s">
        <v>103</v>
      </c>
      <c r="G29">
        <v>2</v>
      </c>
      <c r="H29">
        <v>8</v>
      </c>
      <c r="I29">
        <v>0</v>
      </c>
      <c r="J29">
        <v>4</v>
      </c>
      <c r="K29" t="s">
        <v>68</v>
      </c>
      <c r="L29" s="18">
        <v>0</v>
      </c>
      <c r="M29" t="s">
        <v>68</v>
      </c>
      <c r="N29" s="18">
        <v>0.16666666666666666</v>
      </c>
      <c r="O29" t="s">
        <v>11</v>
      </c>
      <c r="P29" t="s">
        <v>12</v>
      </c>
      <c r="Q29" t="s">
        <v>13</v>
      </c>
      <c r="T29" s="18">
        <v>0</v>
      </c>
      <c r="W29" s="18">
        <v>0</v>
      </c>
      <c r="Y29">
        <v>0</v>
      </c>
      <c r="Z29">
        <v>0</v>
      </c>
      <c r="AB29" t="s">
        <v>20</v>
      </c>
      <c r="AC29">
        <v>19</v>
      </c>
    </row>
    <row r="30" spans="1:29" x14ac:dyDescent="0.25">
      <c r="A30">
        <v>133425173</v>
      </c>
      <c r="B30">
        <v>2031265635</v>
      </c>
      <c r="C30">
        <v>280</v>
      </c>
      <c r="E30" t="s">
        <v>8</v>
      </c>
      <c r="F30" t="s">
        <v>104</v>
      </c>
      <c r="G30">
        <v>2</v>
      </c>
      <c r="H30">
        <v>24</v>
      </c>
      <c r="I30">
        <v>0</v>
      </c>
      <c r="J30">
        <v>12</v>
      </c>
      <c r="K30" t="s">
        <v>68</v>
      </c>
      <c r="L30" s="18">
        <v>0</v>
      </c>
      <c r="M30" t="s">
        <v>68</v>
      </c>
      <c r="N30" s="18">
        <v>0.5</v>
      </c>
      <c r="O30" t="s">
        <v>11</v>
      </c>
      <c r="P30" t="s">
        <v>12</v>
      </c>
      <c r="Q30" t="s">
        <v>13</v>
      </c>
      <c r="T30" s="18">
        <v>0</v>
      </c>
      <c r="W30" s="18">
        <v>0</v>
      </c>
      <c r="Y30">
        <v>0</v>
      </c>
      <c r="Z30">
        <v>0</v>
      </c>
      <c r="AB30" t="s">
        <v>20</v>
      </c>
      <c r="AC30">
        <v>19</v>
      </c>
    </row>
    <row r="31" spans="1:29" x14ac:dyDescent="0.25">
      <c r="A31">
        <v>133425174</v>
      </c>
      <c r="B31">
        <v>2031265635</v>
      </c>
      <c r="C31">
        <v>290</v>
      </c>
      <c r="E31" t="s">
        <v>8</v>
      </c>
      <c r="F31" t="s">
        <v>105</v>
      </c>
      <c r="G31">
        <v>2</v>
      </c>
      <c r="H31">
        <v>6</v>
      </c>
      <c r="I31">
        <v>0</v>
      </c>
      <c r="J31">
        <v>3</v>
      </c>
      <c r="K31" t="s">
        <v>68</v>
      </c>
      <c r="L31" s="18">
        <v>0</v>
      </c>
      <c r="M31" t="s">
        <v>68</v>
      </c>
      <c r="N31" s="18">
        <v>0.125</v>
      </c>
      <c r="O31" t="s">
        <v>11</v>
      </c>
      <c r="P31" t="s">
        <v>12</v>
      </c>
      <c r="Q31" t="s">
        <v>13</v>
      </c>
      <c r="T31" s="18">
        <v>0</v>
      </c>
      <c r="W31" s="18">
        <v>0</v>
      </c>
      <c r="Y31">
        <v>0</v>
      </c>
      <c r="Z31">
        <v>0</v>
      </c>
      <c r="AB31" t="s">
        <v>20</v>
      </c>
      <c r="AC31">
        <v>19</v>
      </c>
    </row>
    <row r="32" spans="1:29" x14ac:dyDescent="0.25">
      <c r="A32">
        <v>133559710</v>
      </c>
      <c r="B32">
        <v>2031348916</v>
      </c>
      <c r="C32">
        <v>60</v>
      </c>
      <c r="E32" t="s">
        <v>8</v>
      </c>
      <c r="F32" t="s">
        <v>52</v>
      </c>
      <c r="G32">
        <v>2</v>
      </c>
      <c r="H32">
        <v>16</v>
      </c>
      <c r="I32">
        <v>0</v>
      </c>
      <c r="J32">
        <v>8</v>
      </c>
      <c r="K32" t="s">
        <v>68</v>
      </c>
      <c r="L32" s="18">
        <v>0.44583333333333336</v>
      </c>
      <c r="M32" t="s">
        <v>74</v>
      </c>
      <c r="N32" s="18">
        <v>0.33750000000000002</v>
      </c>
      <c r="O32" t="s">
        <v>11</v>
      </c>
      <c r="P32" t="s">
        <v>14</v>
      </c>
      <c r="Q32" t="s">
        <v>13</v>
      </c>
      <c r="T32" s="18">
        <v>0</v>
      </c>
      <c r="W32" s="19">
        <v>1</v>
      </c>
      <c r="Y32">
        <v>0</v>
      </c>
      <c r="Z32">
        <v>0</v>
      </c>
      <c r="AA32">
        <v>1</v>
      </c>
      <c r="AB32" t="s">
        <v>20</v>
      </c>
      <c r="AC32">
        <v>19</v>
      </c>
    </row>
    <row r="33" spans="1:29" x14ac:dyDescent="0.25">
      <c r="A33">
        <v>133559711</v>
      </c>
      <c r="B33">
        <v>2031348916</v>
      </c>
      <c r="C33">
        <v>70</v>
      </c>
      <c r="E33" t="s">
        <v>8</v>
      </c>
      <c r="F33" t="s">
        <v>53</v>
      </c>
      <c r="G33">
        <v>2</v>
      </c>
      <c r="H33">
        <v>16</v>
      </c>
      <c r="I33">
        <v>0</v>
      </c>
      <c r="J33">
        <v>8</v>
      </c>
      <c r="K33" t="s">
        <v>74</v>
      </c>
      <c r="L33" s="18">
        <v>0.33750000000000002</v>
      </c>
      <c r="M33" t="s">
        <v>74</v>
      </c>
      <c r="N33" s="18">
        <v>0.64583333333333337</v>
      </c>
      <c r="O33" t="s">
        <v>11</v>
      </c>
      <c r="P33" t="s">
        <v>14</v>
      </c>
      <c r="Q33" t="s">
        <v>13</v>
      </c>
      <c r="T33" s="18">
        <v>0</v>
      </c>
      <c r="W33" s="19">
        <v>1</v>
      </c>
      <c r="Y33">
        <v>0</v>
      </c>
      <c r="Z33">
        <v>0</v>
      </c>
      <c r="AA33">
        <v>1</v>
      </c>
      <c r="AB33" t="s">
        <v>20</v>
      </c>
      <c r="AC33">
        <v>19</v>
      </c>
    </row>
    <row r="34" spans="1:29" x14ac:dyDescent="0.25">
      <c r="A34">
        <v>133559738</v>
      </c>
      <c r="B34">
        <v>2031348916</v>
      </c>
      <c r="C34">
        <v>85</v>
      </c>
      <c r="E34" t="s">
        <v>8</v>
      </c>
      <c r="F34" t="s">
        <v>54</v>
      </c>
      <c r="G34">
        <v>2</v>
      </c>
      <c r="H34">
        <v>18</v>
      </c>
      <c r="I34">
        <v>0</v>
      </c>
      <c r="J34">
        <v>9</v>
      </c>
      <c r="K34" t="s">
        <v>65</v>
      </c>
      <c r="L34" s="18">
        <v>0.63749999999999996</v>
      </c>
      <c r="M34" t="s">
        <v>66</v>
      </c>
      <c r="N34" s="18">
        <v>0.5625</v>
      </c>
      <c r="O34" t="s">
        <v>11</v>
      </c>
      <c r="P34" t="s">
        <v>14</v>
      </c>
      <c r="Q34" t="s">
        <v>13</v>
      </c>
      <c r="T34" s="18">
        <v>0</v>
      </c>
      <c r="W34" s="19">
        <v>1</v>
      </c>
      <c r="Y34">
        <v>0</v>
      </c>
      <c r="Z34">
        <v>0</v>
      </c>
      <c r="AA34">
        <v>1</v>
      </c>
      <c r="AB34" t="s">
        <v>20</v>
      </c>
      <c r="AC34">
        <v>19</v>
      </c>
    </row>
    <row r="35" spans="1:29" x14ac:dyDescent="0.25">
      <c r="A35">
        <v>133559713</v>
      </c>
      <c r="B35">
        <v>2031348916</v>
      </c>
      <c r="C35">
        <v>90</v>
      </c>
      <c r="E35" t="s">
        <v>8</v>
      </c>
      <c r="F35" t="s">
        <v>55</v>
      </c>
      <c r="G35">
        <v>2</v>
      </c>
      <c r="H35">
        <v>32</v>
      </c>
      <c r="I35">
        <v>0</v>
      </c>
      <c r="J35">
        <v>16</v>
      </c>
      <c r="K35" t="s">
        <v>66</v>
      </c>
      <c r="L35" s="18">
        <v>0.5625</v>
      </c>
      <c r="M35" t="s">
        <v>79</v>
      </c>
      <c r="N35" s="18">
        <v>0.34583333333333333</v>
      </c>
      <c r="O35" t="s">
        <v>11</v>
      </c>
      <c r="P35" t="s">
        <v>14</v>
      </c>
      <c r="Q35" t="s">
        <v>13</v>
      </c>
      <c r="T35" s="18">
        <v>0</v>
      </c>
      <c r="W35" s="19">
        <v>1</v>
      </c>
      <c r="Y35">
        <v>0</v>
      </c>
      <c r="Z35">
        <v>0</v>
      </c>
      <c r="AA35">
        <v>1</v>
      </c>
      <c r="AB35" t="s">
        <v>20</v>
      </c>
      <c r="AC35">
        <v>19</v>
      </c>
    </row>
    <row r="36" spans="1:29" x14ac:dyDescent="0.25">
      <c r="A36">
        <v>134440805</v>
      </c>
      <c r="B36">
        <v>2031482284</v>
      </c>
      <c r="C36">
        <v>30</v>
      </c>
      <c r="E36" t="s">
        <v>8</v>
      </c>
      <c r="F36" t="s">
        <v>109</v>
      </c>
      <c r="G36">
        <v>2</v>
      </c>
      <c r="H36">
        <v>8</v>
      </c>
      <c r="I36">
        <v>0</v>
      </c>
      <c r="J36">
        <v>4</v>
      </c>
      <c r="K36" t="s">
        <v>74</v>
      </c>
      <c r="L36" s="18">
        <v>0.6333333333333333</v>
      </c>
      <c r="M36" t="s">
        <v>65</v>
      </c>
      <c r="N36" s="18">
        <v>0.38333333333333336</v>
      </c>
      <c r="O36" t="s">
        <v>11</v>
      </c>
      <c r="P36" t="s">
        <v>14</v>
      </c>
      <c r="Q36" t="s">
        <v>13</v>
      </c>
      <c r="T36" s="18">
        <v>0</v>
      </c>
      <c r="W36" s="18">
        <v>0</v>
      </c>
      <c r="Y36">
        <v>0</v>
      </c>
      <c r="Z36">
        <v>0</v>
      </c>
      <c r="AA36">
        <v>1</v>
      </c>
      <c r="AB36" t="s">
        <v>20</v>
      </c>
      <c r="AC36">
        <v>19</v>
      </c>
    </row>
    <row r="37" spans="1:29" x14ac:dyDescent="0.25">
      <c r="L37" s="18"/>
      <c r="N37" s="18"/>
      <c r="T37" s="18"/>
      <c r="W37" s="18"/>
    </row>
    <row r="38" spans="1:29" x14ac:dyDescent="0.25">
      <c r="L38" s="18"/>
      <c r="N38" s="18"/>
      <c r="T38" s="18"/>
      <c r="W38" s="18"/>
    </row>
    <row r="39" spans="1:29" x14ac:dyDescent="0.25">
      <c r="L39" s="18"/>
      <c r="N39" s="18"/>
      <c r="T39" s="18"/>
      <c r="W39" s="18"/>
    </row>
    <row r="40" spans="1:29" x14ac:dyDescent="0.25">
      <c r="L40" s="18"/>
      <c r="N40" s="18"/>
      <c r="T40" s="18"/>
      <c r="W40" s="18"/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204F-57C8-4197-BA43-AF8EFC92BD24}">
  <sheetPr codeName="Planilha6">
    <tabColor rgb="FF00B0F0"/>
  </sheetPr>
  <dimension ref="A1:AC88"/>
  <sheetViews>
    <sheetView workbookViewId="0">
      <selection activeCell="A3" sqref="A3:AC68"/>
    </sheetView>
  </sheetViews>
  <sheetFormatPr defaultRowHeight="15" x14ac:dyDescent="0.25"/>
  <cols>
    <col min="1" max="1" width="8.42578125" bestFit="1" customWidth="1"/>
    <col min="2" max="2" width="7.140625" bestFit="1" customWidth="1"/>
    <col min="3" max="3" width="5.42578125" bestFit="1" customWidth="1"/>
    <col min="4" max="4" width="6.7109375" bestFit="1" customWidth="1"/>
    <col min="5" max="5" width="11.140625" bestFit="1" customWidth="1"/>
    <col min="6" max="6" width="18.85546875" bestFit="1" customWidth="1"/>
    <col min="7" max="7" width="11.140625" bestFit="1" customWidth="1"/>
    <col min="8" max="8" width="8.7109375" bestFit="1" customWidth="1"/>
    <col min="9" max="9" width="7.85546875" bestFit="1" customWidth="1"/>
    <col min="10" max="10" width="8.42578125" bestFit="1" customWidth="1"/>
    <col min="11" max="11" width="10.140625" bestFit="1" customWidth="1"/>
    <col min="12" max="12" width="8.140625" bestFit="1" customWidth="1"/>
    <col min="13" max="13" width="10.140625" bestFit="1" customWidth="1"/>
    <col min="14" max="14" width="8.140625" bestFit="1" customWidth="1"/>
    <col min="15" max="15" width="16" bestFit="1" customWidth="1"/>
    <col min="16" max="16" width="17.42578125" bestFit="1" customWidth="1"/>
    <col min="17" max="17" width="5.5703125" bestFit="1" customWidth="1"/>
    <col min="20" max="20" width="8.140625" bestFit="1" customWidth="1"/>
    <col min="23" max="23" width="8.140625" bestFit="1" customWidth="1"/>
    <col min="24" max="24" width="2.140625" bestFit="1" customWidth="1"/>
    <col min="25" max="27" width="2" bestFit="1" customWidth="1"/>
    <col min="28" max="28" width="14" bestFit="1" customWidth="1"/>
    <col min="29" max="29" width="3" bestFit="1" customWidth="1"/>
  </cols>
  <sheetData>
    <row r="1" spans="1:29" ht="15.75" thickBot="1" x14ac:dyDescent="0.3">
      <c r="H1">
        <f>SUM(H3:H1048576)</f>
        <v>463.99999999999994</v>
      </c>
    </row>
    <row r="2" spans="1:29" s="30" customFormat="1" ht="15.75" thickBot="1" x14ac:dyDescent="0.3">
      <c r="A2" s="27" t="s">
        <v>29</v>
      </c>
      <c r="B2" s="28" t="s">
        <v>28</v>
      </c>
      <c r="C2" s="28" t="s">
        <v>27</v>
      </c>
      <c r="D2" s="28" t="s">
        <v>30</v>
      </c>
      <c r="E2" s="28" t="s">
        <v>31</v>
      </c>
      <c r="F2" s="28" t="s">
        <v>32</v>
      </c>
      <c r="G2" s="28" t="s">
        <v>33</v>
      </c>
      <c r="H2" s="28" t="s">
        <v>34</v>
      </c>
      <c r="I2" s="28" t="s">
        <v>35</v>
      </c>
      <c r="J2" s="29" t="s">
        <v>36</v>
      </c>
      <c r="K2" s="31"/>
    </row>
    <row r="3" spans="1:29" x14ac:dyDescent="0.25">
      <c r="A3">
        <v>114052335</v>
      </c>
      <c r="B3">
        <v>2028265715</v>
      </c>
      <c r="C3">
        <v>130</v>
      </c>
      <c r="E3" t="s">
        <v>9</v>
      </c>
      <c r="F3" t="s">
        <v>114</v>
      </c>
      <c r="G3">
        <v>2</v>
      </c>
      <c r="H3">
        <v>4</v>
      </c>
      <c r="I3">
        <v>0</v>
      </c>
      <c r="J3">
        <v>2</v>
      </c>
      <c r="K3" t="s">
        <v>68</v>
      </c>
      <c r="L3" s="18">
        <v>0.72045138888888893</v>
      </c>
      <c r="M3" t="s">
        <v>74</v>
      </c>
      <c r="N3" s="18">
        <v>0.38711805555555556</v>
      </c>
      <c r="O3" t="s">
        <v>11</v>
      </c>
      <c r="P3" t="s">
        <v>14</v>
      </c>
      <c r="Q3" t="s">
        <v>13</v>
      </c>
      <c r="T3" s="18">
        <v>0</v>
      </c>
      <c r="W3" s="18">
        <v>0</v>
      </c>
      <c r="Y3">
        <v>0</v>
      </c>
      <c r="Z3">
        <v>0</v>
      </c>
      <c r="AB3" t="s">
        <v>20</v>
      </c>
      <c r="AC3">
        <v>19</v>
      </c>
    </row>
    <row r="4" spans="1:29" x14ac:dyDescent="0.25">
      <c r="A4">
        <v>134596248</v>
      </c>
      <c r="B4">
        <v>2028265715</v>
      </c>
      <c r="C4">
        <v>142</v>
      </c>
      <c r="E4" t="s">
        <v>9</v>
      </c>
      <c r="F4" t="s">
        <v>115</v>
      </c>
      <c r="G4">
        <v>2</v>
      </c>
      <c r="H4">
        <v>8</v>
      </c>
      <c r="I4">
        <v>0</v>
      </c>
      <c r="J4">
        <v>4</v>
      </c>
      <c r="K4" t="s">
        <v>74</v>
      </c>
      <c r="L4" s="18">
        <v>0.67878472222222219</v>
      </c>
      <c r="M4" t="s">
        <v>65</v>
      </c>
      <c r="N4" s="18">
        <v>0.42878472222222225</v>
      </c>
      <c r="O4" t="s">
        <v>11</v>
      </c>
      <c r="P4" t="s">
        <v>14</v>
      </c>
      <c r="Q4" t="s">
        <v>13</v>
      </c>
      <c r="T4" s="18">
        <v>0</v>
      </c>
      <c r="W4" s="18">
        <v>0</v>
      </c>
      <c r="Y4">
        <v>0</v>
      </c>
      <c r="Z4">
        <v>0</v>
      </c>
      <c r="AB4" t="s">
        <v>20</v>
      </c>
      <c r="AC4">
        <v>19</v>
      </c>
    </row>
    <row r="5" spans="1:29" x14ac:dyDescent="0.25">
      <c r="A5">
        <v>117749497</v>
      </c>
      <c r="B5">
        <v>2028854655</v>
      </c>
      <c r="C5">
        <v>150</v>
      </c>
      <c r="E5" t="s">
        <v>9</v>
      </c>
      <c r="F5" t="s">
        <v>116</v>
      </c>
      <c r="G5">
        <v>1</v>
      </c>
      <c r="H5">
        <v>0.2</v>
      </c>
      <c r="I5">
        <v>0</v>
      </c>
      <c r="J5">
        <v>0.2</v>
      </c>
      <c r="K5" t="s">
        <v>68</v>
      </c>
      <c r="L5" s="18">
        <v>0.3125</v>
      </c>
      <c r="M5" t="s">
        <v>68</v>
      </c>
      <c r="N5" s="18">
        <v>0.31916666666666665</v>
      </c>
      <c r="O5" t="s">
        <v>15</v>
      </c>
      <c r="P5" t="s">
        <v>14</v>
      </c>
      <c r="Q5" t="s">
        <v>13</v>
      </c>
      <c r="T5" s="18">
        <v>0</v>
      </c>
      <c r="W5" s="18">
        <v>0</v>
      </c>
      <c r="Y5">
        <v>0</v>
      </c>
      <c r="Z5">
        <v>0</v>
      </c>
      <c r="AA5">
        <v>2</v>
      </c>
      <c r="AB5" t="s">
        <v>20</v>
      </c>
      <c r="AC5">
        <v>19</v>
      </c>
    </row>
    <row r="6" spans="1:29" x14ac:dyDescent="0.25">
      <c r="A6">
        <v>122426472</v>
      </c>
      <c r="B6">
        <v>2029456516</v>
      </c>
      <c r="C6">
        <v>20</v>
      </c>
      <c r="E6" t="s">
        <v>9</v>
      </c>
      <c r="F6" t="s">
        <v>117</v>
      </c>
      <c r="G6">
        <v>2</v>
      </c>
      <c r="H6">
        <v>54</v>
      </c>
      <c r="I6">
        <v>0</v>
      </c>
      <c r="J6">
        <v>27</v>
      </c>
      <c r="K6" t="s">
        <v>74</v>
      </c>
      <c r="L6" s="18">
        <v>0.62083333333333335</v>
      </c>
      <c r="M6" t="s">
        <v>77</v>
      </c>
      <c r="N6" s="18">
        <v>0.35416666666666669</v>
      </c>
      <c r="O6" t="s">
        <v>11</v>
      </c>
      <c r="P6" t="s">
        <v>14</v>
      </c>
      <c r="Q6" t="s">
        <v>13</v>
      </c>
      <c r="T6" s="18">
        <v>0</v>
      </c>
      <c r="W6" s="18">
        <v>0</v>
      </c>
      <c r="Y6">
        <v>0</v>
      </c>
      <c r="Z6">
        <v>0</v>
      </c>
      <c r="AA6">
        <v>1</v>
      </c>
      <c r="AB6" t="s">
        <v>20</v>
      </c>
      <c r="AC6">
        <v>19</v>
      </c>
    </row>
    <row r="7" spans="1:29" x14ac:dyDescent="0.25">
      <c r="A7">
        <v>121226621</v>
      </c>
      <c r="B7">
        <v>2029456516</v>
      </c>
      <c r="C7">
        <v>40</v>
      </c>
      <c r="E7" t="s">
        <v>9</v>
      </c>
      <c r="F7" t="s">
        <v>118</v>
      </c>
      <c r="G7">
        <v>2</v>
      </c>
      <c r="H7">
        <v>4</v>
      </c>
      <c r="I7">
        <v>0</v>
      </c>
      <c r="J7">
        <v>2</v>
      </c>
      <c r="K7" t="s">
        <v>77</v>
      </c>
      <c r="L7" s="18">
        <v>0.38750000000000001</v>
      </c>
      <c r="M7" t="s">
        <v>77</v>
      </c>
      <c r="N7" s="18">
        <v>0.45416666666666666</v>
      </c>
      <c r="O7" t="s">
        <v>11</v>
      </c>
      <c r="P7" t="s">
        <v>14</v>
      </c>
      <c r="Q7" t="s">
        <v>13</v>
      </c>
      <c r="T7" s="18">
        <v>0</v>
      </c>
      <c r="W7" s="18">
        <v>0</v>
      </c>
      <c r="Y7">
        <v>0</v>
      </c>
      <c r="Z7">
        <v>0</v>
      </c>
      <c r="AA7">
        <v>1</v>
      </c>
      <c r="AB7" t="s">
        <v>20</v>
      </c>
      <c r="AC7">
        <v>19</v>
      </c>
    </row>
    <row r="8" spans="1:29" x14ac:dyDescent="0.25">
      <c r="A8">
        <v>129596777</v>
      </c>
      <c r="B8">
        <v>2029484416</v>
      </c>
      <c r="C8">
        <v>170</v>
      </c>
      <c r="E8" t="s">
        <v>9</v>
      </c>
      <c r="F8" t="s">
        <v>45</v>
      </c>
      <c r="G8">
        <v>2</v>
      </c>
      <c r="H8">
        <v>4</v>
      </c>
      <c r="I8">
        <v>0</v>
      </c>
      <c r="J8">
        <v>2</v>
      </c>
      <c r="K8" t="s">
        <v>68</v>
      </c>
      <c r="L8" s="18">
        <v>0</v>
      </c>
      <c r="M8" t="s">
        <v>68</v>
      </c>
      <c r="N8" s="18">
        <v>8.3333333333333329E-2</v>
      </c>
      <c r="O8" t="s">
        <v>41</v>
      </c>
      <c r="P8" t="s">
        <v>16</v>
      </c>
      <c r="Q8" t="s">
        <v>13</v>
      </c>
      <c r="T8" s="18">
        <v>0</v>
      </c>
      <c r="W8" s="18">
        <v>0</v>
      </c>
      <c r="Y8">
        <v>0</v>
      </c>
      <c r="Z8">
        <v>0</v>
      </c>
      <c r="AA8">
        <v>2</v>
      </c>
      <c r="AB8" t="s">
        <v>20</v>
      </c>
      <c r="AC8">
        <v>19</v>
      </c>
    </row>
    <row r="9" spans="1:29" x14ac:dyDescent="0.25">
      <c r="A9">
        <v>129596778</v>
      </c>
      <c r="B9">
        <v>2029484416</v>
      </c>
      <c r="C9">
        <v>180</v>
      </c>
      <c r="E9" t="s">
        <v>9</v>
      </c>
      <c r="F9" t="s">
        <v>46</v>
      </c>
      <c r="G9">
        <v>2</v>
      </c>
      <c r="H9">
        <v>8</v>
      </c>
      <c r="I9">
        <v>0</v>
      </c>
      <c r="J9">
        <v>4</v>
      </c>
      <c r="K9" t="s">
        <v>68</v>
      </c>
      <c r="L9" s="18">
        <v>0</v>
      </c>
      <c r="M9" t="s">
        <v>68</v>
      </c>
      <c r="N9" s="18">
        <v>0.16666666666666666</v>
      </c>
      <c r="O9" t="s">
        <v>41</v>
      </c>
      <c r="P9" t="s">
        <v>14</v>
      </c>
      <c r="Q9" t="s">
        <v>13</v>
      </c>
      <c r="T9" s="18">
        <v>0</v>
      </c>
      <c r="W9" s="18">
        <v>0</v>
      </c>
      <c r="Y9">
        <v>0</v>
      </c>
      <c r="Z9">
        <v>0</v>
      </c>
      <c r="AA9">
        <v>2</v>
      </c>
      <c r="AB9" t="s">
        <v>20</v>
      </c>
      <c r="AC9">
        <v>19</v>
      </c>
    </row>
    <row r="10" spans="1:29" x14ac:dyDescent="0.25">
      <c r="A10">
        <v>121735287</v>
      </c>
      <c r="B10">
        <v>2029508737</v>
      </c>
      <c r="C10">
        <v>130</v>
      </c>
      <c r="E10" t="s">
        <v>9</v>
      </c>
      <c r="F10" t="s">
        <v>119</v>
      </c>
      <c r="G10">
        <v>1</v>
      </c>
      <c r="H10">
        <v>0.2</v>
      </c>
      <c r="I10">
        <v>0</v>
      </c>
      <c r="J10">
        <v>0.2</v>
      </c>
      <c r="K10" t="s">
        <v>68</v>
      </c>
      <c r="L10" s="18">
        <v>0.63749999999999996</v>
      </c>
      <c r="M10" t="s">
        <v>68</v>
      </c>
      <c r="N10" s="18">
        <v>0.64416666666666667</v>
      </c>
      <c r="O10" t="s">
        <v>11</v>
      </c>
      <c r="P10" t="s">
        <v>14</v>
      </c>
      <c r="Q10" t="s">
        <v>13</v>
      </c>
      <c r="T10" s="18">
        <v>0</v>
      </c>
      <c r="W10" s="19">
        <v>0</v>
      </c>
      <c r="Y10">
        <v>0</v>
      </c>
      <c r="Z10">
        <v>0</v>
      </c>
      <c r="AA10">
        <v>2</v>
      </c>
      <c r="AB10" t="s">
        <v>20</v>
      </c>
      <c r="AC10">
        <v>19</v>
      </c>
    </row>
    <row r="11" spans="1:29" x14ac:dyDescent="0.25">
      <c r="A11">
        <v>125755037</v>
      </c>
      <c r="B11">
        <v>2029900061</v>
      </c>
      <c r="C11">
        <v>1020</v>
      </c>
      <c r="E11" t="s">
        <v>9</v>
      </c>
      <c r="F11" t="s">
        <v>121</v>
      </c>
      <c r="G11">
        <v>2</v>
      </c>
      <c r="H11">
        <v>4</v>
      </c>
      <c r="I11">
        <v>0</v>
      </c>
      <c r="J11">
        <v>2</v>
      </c>
      <c r="K11" t="s">
        <v>68</v>
      </c>
      <c r="L11" s="18">
        <v>0</v>
      </c>
      <c r="M11" t="s">
        <v>68</v>
      </c>
      <c r="N11" s="18">
        <v>8.3333333333333329E-2</v>
      </c>
      <c r="O11" t="s">
        <v>11</v>
      </c>
      <c r="P11" t="s">
        <v>12</v>
      </c>
      <c r="Q11" t="s">
        <v>13</v>
      </c>
      <c r="T11" s="18">
        <v>0</v>
      </c>
      <c r="W11" s="19">
        <v>0</v>
      </c>
      <c r="Y11">
        <v>0</v>
      </c>
      <c r="Z11">
        <v>0</v>
      </c>
      <c r="AC11">
        <v>19</v>
      </c>
    </row>
    <row r="12" spans="1:29" x14ac:dyDescent="0.25">
      <c r="A12">
        <v>125755038</v>
      </c>
      <c r="B12">
        <v>2029900061</v>
      </c>
      <c r="C12">
        <v>1030</v>
      </c>
      <c r="E12" t="s">
        <v>9</v>
      </c>
      <c r="F12" t="s">
        <v>122</v>
      </c>
      <c r="G12">
        <v>2</v>
      </c>
      <c r="H12">
        <v>8</v>
      </c>
      <c r="I12">
        <v>0</v>
      </c>
      <c r="J12">
        <v>4</v>
      </c>
      <c r="K12" t="s">
        <v>68</v>
      </c>
      <c r="L12" s="18">
        <v>0</v>
      </c>
      <c r="M12" t="s">
        <v>68</v>
      </c>
      <c r="N12" s="18">
        <v>0.16666666666666666</v>
      </c>
      <c r="O12" t="s">
        <v>11</v>
      </c>
      <c r="P12" t="s">
        <v>12</v>
      </c>
      <c r="Q12" t="s">
        <v>13</v>
      </c>
      <c r="T12" s="18">
        <v>0</v>
      </c>
      <c r="W12" s="19">
        <v>0</v>
      </c>
      <c r="Y12">
        <v>0</v>
      </c>
      <c r="Z12">
        <v>0</v>
      </c>
      <c r="AC12">
        <v>19</v>
      </c>
    </row>
    <row r="13" spans="1:29" x14ac:dyDescent="0.25">
      <c r="A13">
        <v>127910766</v>
      </c>
      <c r="B13">
        <v>2029900061</v>
      </c>
      <c r="C13">
        <v>1050</v>
      </c>
      <c r="E13" t="s">
        <v>9</v>
      </c>
      <c r="F13" t="s">
        <v>123</v>
      </c>
      <c r="G13">
        <v>1</v>
      </c>
      <c r="H13">
        <v>0.2</v>
      </c>
      <c r="I13">
        <v>0</v>
      </c>
      <c r="J13">
        <v>0.2</v>
      </c>
      <c r="K13" t="s">
        <v>68</v>
      </c>
      <c r="L13" s="18">
        <v>0</v>
      </c>
      <c r="M13" t="s">
        <v>68</v>
      </c>
      <c r="N13" s="18">
        <v>8.3333333333333332E-3</v>
      </c>
      <c r="O13" t="s">
        <v>11</v>
      </c>
      <c r="P13" t="s">
        <v>12</v>
      </c>
      <c r="Q13" t="s">
        <v>13</v>
      </c>
      <c r="T13" s="18">
        <v>0</v>
      </c>
      <c r="W13" s="19">
        <v>0</v>
      </c>
      <c r="Y13">
        <v>0</v>
      </c>
      <c r="Z13">
        <v>0</v>
      </c>
      <c r="AC13">
        <v>19</v>
      </c>
    </row>
    <row r="14" spans="1:29" x14ac:dyDescent="0.25">
      <c r="A14">
        <v>126468979</v>
      </c>
      <c r="B14">
        <v>2030272491</v>
      </c>
      <c r="C14">
        <v>40</v>
      </c>
      <c r="E14" t="s">
        <v>9</v>
      </c>
      <c r="F14" t="s">
        <v>58</v>
      </c>
      <c r="G14">
        <v>2</v>
      </c>
      <c r="H14">
        <v>8</v>
      </c>
      <c r="I14">
        <v>0</v>
      </c>
      <c r="J14">
        <v>4</v>
      </c>
      <c r="K14" t="s">
        <v>68</v>
      </c>
      <c r="L14" s="18">
        <v>0.3125</v>
      </c>
      <c r="M14" t="s">
        <v>68</v>
      </c>
      <c r="N14" s="18">
        <v>0.44583333333333336</v>
      </c>
      <c r="O14" t="s">
        <v>11</v>
      </c>
      <c r="P14" t="s">
        <v>14</v>
      </c>
      <c r="Q14" t="s">
        <v>13</v>
      </c>
      <c r="T14" s="18">
        <v>0</v>
      </c>
      <c r="W14" s="18">
        <v>0</v>
      </c>
      <c r="Y14">
        <v>0</v>
      </c>
      <c r="Z14">
        <v>0</v>
      </c>
      <c r="AC14">
        <v>19</v>
      </c>
    </row>
    <row r="15" spans="1:29" x14ac:dyDescent="0.25">
      <c r="A15">
        <v>127122540</v>
      </c>
      <c r="B15">
        <v>2030377954</v>
      </c>
      <c r="C15">
        <v>370</v>
      </c>
      <c r="E15" t="s">
        <v>9</v>
      </c>
      <c r="F15" t="s">
        <v>126</v>
      </c>
      <c r="G15">
        <v>2</v>
      </c>
      <c r="H15">
        <v>16</v>
      </c>
      <c r="I15">
        <v>0</v>
      </c>
      <c r="J15">
        <v>8</v>
      </c>
      <c r="K15" t="s">
        <v>68</v>
      </c>
      <c r="L15" s="18">
        <v>0</v>
      </c>
      <c r="M15" t="s">
        <v>68</v>
      </c>
      <c r="N15" s="18">
        <v>0.33333333333333331</v>
      </c>
      <c r="O15" t="s">
        <v>41</v>
      </c>
      <c r="P15" t="s">
        <v>14</v>
      </c>
      <c r="Q15" t="s">
        <v>13</v>
      </c>
      <c r="T15" s="18">
        <v>0</v>
      </c>
      <c r="W15" s="18">
        <v>0</v>
      </c>
      <c r="Y15">
        <v>0</v>
      </c>
      <c r="Z15">
        <v>0</v>
      </c>
      <c r="AB15" t="s">
        <v>20</v>
      </c>
      <c r="AC15">
        <v>19</v>
      </c>
    </row>
    <row r="16" spans="1:29" x14ac:dyDescent="0.25">
      <c r="A16">
        <v>134617901</v>
      </c>
      <c r="B16">
        <v>2030377954</v>
      </c>
      <c r="C16">
        <v>405</v>
      </c>
      <c r="E16" t="s">
        <v>9</v>
      </c>
      <c r="F16" t="s">
        <v>127</v>
      </c>
      <c r="G16">
        <v>2</v>
      </c>
      <c r="H16">
        <v>10</v>
      </c>
      <c r="I16">
        <v>0</v>
      </c>
      <c r="J16">
        <v>5</v>
      </c>
      <c r="K16" t="s">
        <v>68</v>
      </c>
      <c r="L16" s="18">
        <v>0</v>
      </c>
      <c r="M16" t="s">
        <v>68</v>
      </c>
      <c r="N16" s="18">
        <v>0.20833333333333334</v>
      </c>
      <c r="O16" t="s">
        <v>11</v>
      </c>
      <c r="P16" t="s">
        <v>14</v>
      </c>
      <c r="Q16" t="s">
        <v>13</v>
      </c>
      <c r="T16" s="18">
        <v>0</v>
      </c>
      <c r="W16" s="18">
        <v>0</v>
      </c>
      <c r="Y16">
        <v>0</v>
      </c>
      <c r="Z16">
        <v>0</v>
      </c>
      <c r="AB16" t="s">
        <v>20</v>
      </c>
      <c r="AC16">
        <v>19</v>
      </c>
    </row>
    <row r="17" spans="1:29" x14ac:dyDescent="0.25">
      <c r="A17">
        <v>127122543</v>
      </c>
      <c r="B17">
        <v>2030377954</v>
      </c>
      <c r="C17">
        <v>410</v>
      </c>
      <c r="E17" t="s">
        <v>9</v>
      </c>
      <c r="F17" t="s">
        <v>128</v>
      </c>
      <c r="G17">
        <v>1</v>
      </c>
      <c r="H17">
        <v>0.2</v>
      </c>
      <c r="I17">
        <v>0</v>
      </c>
      <c r="J17">
        <v>0.2</v>
      </c>
      <c r="K17" t="s">
        <v>68</v>
      </c>
      <c r="L17" s="18">
        <v>0</v>
      </c>
      <c r="M17" t="s">
        <v>68</v>
      </c>
      <c r="N17" s="18">
        <v>8.3333333333333332E-3</v>
      </c>
      <c r="O17" t="s">
        <v>15</v>
      </c>
      <c r="P17" t="s">
        <v>14</v>
      </c>
      <c r="Q17" t="s">
        <v>13</v>
      </c>
      <c r="T17" s="18">
        <v>0</v>
      </c>
      <c r="W17" s="18">
        <v>0</v>
      </c>
      <c r="Y17">
        <v>0</v>
      </c>
      <c r="Z17">
        <v>0</v>
      </c>
      <c r="AB17" t="s">
        <v>20</v>
      </c>
      <c r="AC17">
        <v>19</v>
      </c>
    </row>
    <row r="18" spans="1:29" x14ac:dyDescent="0.25">
      <c r="A18">
        <v>128533768</v>
      </c>
      <c r="B18">
        <v>2030382934</v>
      </c>
      <c r="C18">
        <v>200</v>
      </c>
      <c r="E18" t="s">
        <v>9</v>
      </c>
      <c r="F18" t="s">
        <v>129</v>
      </c>
      <c r="G18">
        <v>2</v>
      </c>
      <c r="H18">
        <v>6</v>
      </c>
      <c r="I18">
        <v>0</v>
      </c>
      <c r="J18">
        <v>3</v>
      </c>
      <c r="K18" t="s">
        <v>68</v>
      </c>
      <c r="L18" s="18">
        <v>0.39583333333333331</v>
      </c>
      <c r="M18" t="s">
        <v>68</v>
      </c>
      <c r="N18" s="18">
        <v>0.49583333333333335</v>
      </c>
      <c r="O18" t="s">
        <v>11</v>
      </c>
      <c r="P18" t="s">
        <v>14</v>
      </c>
      <c r="Q18" t="s">
        <v>13</v>
      </c>
      <c r="T18" s="18">
        <v>0</v>
      </c>
      <c r="W18" s="18">
        <v>0</v>
      </c>
      <c r="Y18">
        <v>0</v>
      </c>
      <c r="Z18">
        <v>0</v>
      </c>
      <c r="AB18" t="s">
        <v>20</v>
      </c>
      <c r="AC18">
        <v>19</v>
      </c>
    </row>
    <row r="19" spans="1:29" x14ac:dyDescent="0.25">
      <c r="A19">
        <v>128533769</v>
      </c>
      <c r="B19">
        <v>2030382934</v>
      </c>
      <c r="C19">
        <v>210</v>
      </c>
      <c r="E19" t="s">
        <v>9</v>
      </c>
      <c r="F19" t="s">
        <v>130</v>
      </c>
      <c r="G19">
        <v>2</v>
      </c>
      <c r="H19">
        <v>6</v>
      </c>
      <c r="I19">
        <v>0</v>
      </c>
      <c r="J19">
        <v>3</v>
      </c>
      <c r="K19" t="s">
        <v>68</v>
      </c>
      <c r="L19" s="18">
        <v>0.49583333333333335</v>
      </c>
      <c r="M19" t="s">
        <v>68</v>
      </c>
      <c r="N19" s="18">
        <v>0.63749999999999996</v>
      </c>
      <c r="O19" t="s">
        <v>11</v>
      </c>
      <c r="P19" t="s">
        <v>14</v>
      </c>
      <c r="Q19" t="s">
        <v>13</v>
      </c>
      <c r="T19" s="18">
        <v>0</v>
      </c>
      <c r="W19" s="18">
        <v>0</v>
      </c>
      <c r="Y19">
        <v>0</v>
      </c>
      <c r="Z19">
        <v>0</v>
      </c>
      <c r="AB19" t="s">
        <v>20</v>
      </c>
      <c r="AC19">
        <v>19</v>
      </c>
    </row>
    <row r="20" spans="1:29" x14ac:dyDescent="0.25">
      <c r="A20">
        <v>127507340</v>
      </c>
      <c r="B20">
        <v>2030452771</v>
      </c>
      <c r="C20">
        <v>20</v>
      </c>
      <c r="E20" t="s">
        <v>9</v>
      </c>
      <c r="F20" t="s">
        <v>132</v>
      </c>
      <c r="G20">
        <v>2</v>
      </c>
      <c r="H20">
        <v>8</v>
      </c>
      <c r="I20">
        <v>0</v>
      </c>
      <c r="J20">
        <v>4</v>
      </c>
      <c r="K20" t="s">
        <v>68</v>
      </c>
      <c r="L20" s="18">
        <v>0.5625</v>
      </c>
      <c r="M20" t="s">
        <v>68</v>
      </c>
      <c r="N20" s="18">
        <v>0.72916666666666663</v>
      </c>
      <c r="O20" t="s">
        <v>41</v>
      </c>
      <c r="P20" t="s">
        <v>14</v>
      </c>
      <c r="Q20" t="s">
        <v>13</v>
      </c>
      <c r="T20" s="18">
        <v>0</v>
      </c>
      <c r="W20" s="18">
        <v>0</v>
      </c>
      <c r="Y20">
        <v>0</v>
      </c>
      <c r="Z20">
        <v>0</v>
      </c>
      <c r="AA20">
        <v>2</v>
      </c>
      <c r="AB20" t="s">
        <v>20</v>
      </c>
      <c r="AC20">
        <v>19</v>
      </c>
    </row>
    <row r="21" spans="1:29" x14ac:dyDescent="0.25">
      <c r="A21">
        <v>127507341</v>
      </c>
      <c r="B21">
        <v>2030452771</v>
      </c>
      <c r="C21">
        <v>30</v>
      </c>
      <c r="E21" t="s">
        <v>9</v>
      </c>
      <c r="F21" t="s">
        <v>133</v>
      </c>
      <c r="G21">
        <v>2</v>
      </c>
      <c r="H21">
        <v>8</v>
      </c>
      <c r="I21">
        <v>0</v>
      </c>
      <c r="J21">
        <v>4</v>
      </c>
      <c r="K21" t="s">
        <v>74</v>
      </c>
      <c r="L21" s="18">
        <v>0.3125</v>
      </c>
      <c r="M21" t="s">
        <v>74</v>
      </c>
      <c r="N21" s="18">
        <v>0.47916666666666669</v>
      </c>
      <c r="O21" t="s">
        <v>41</v>
      </c>
      <c r="P21" t="s">
        <v>14</v>
      </c>
      <c r="Q21" t="s">
        <v>13</v>
      </c>
      <c r="T21" s="18">
        <v>0</v>
      </c>
      <c r="W21" s="18">
        <v>0</v>
      </c>
      <c r="Y21">
        <v>0</v>
      </c>
      <c r="Z21">
        <v>0</v>
      </c>
      <c r="AA21">
        <v>2</v>
      </c>
      <c r="AB21" t="s">
        <v>20</v>
      </c>
      <c r="AC21">
        <v>19</v>
      </c>
    </row>
    <row r="22" spans="1:29" x14ac:dyDescent="0.25">
      <c r="A22">
        <v>127507343</v>
      </c>
      <c r="B22">
        <v>2030452771</v>
      </c>
      <c r="C22">
        <v>50</v>
      </c>
      <c r="E22" t="s">
        <v>9</v>
      </c>
      <c r="F22" t="s">
        <v>134</v>
      </c>
      <c r="G22">
        <v>1</v>
      </c>
      <c r="H22">
        <v>0.2</v>
      </c>
      <c r="I22">
        <v>0</v>
      </c>
      <c r="J22">
        <v>0.2</v>
      </c>
      <c r="K22" t="s">
        <v>65</v>
      </c>
      <c r="L22" s="18">
        <v>0.3125</v>
      </c>
      <c r="M22" t="s">
        <v>65</v>
      </c>
      <c r="N22" s="18">
        <v>0.32083333333333336</v>
      </c>
      <c r="O22" t="s">
        <v>41</v>
      </c>
      <c r="P22" t="s">
        <v>14</v>
      </c>
      <c r="Q22" t="s">
        <v>13</v>
      </c>
      <c r="T22" s="18">
        <v>0</v>
      </c>
      <c r="W22" s="18">
        <v>0</v>
      </c>
      <c r="Y22">
        <v>0</v>
      </c>
      <c r="Z22">
        <v>0</v>
      </c>
      <c r="AA22">
        <v>2</v>
      </c>
      <c r="AB22" t="s">
        <v>20</v>
      </c>
      <c r="AC22">
        <v>19</v>
      </c>
    </row>
    <row r="23" spans="1:29" x14ac:dyDescent="0.25">
      <c r="A23">
        <v>134040312</v>
      </c>
      <c r="B23">
        <v>2030707957</v>
      </c>
      <c r="C23">
        <v>190</v>
      </c>
      <c r="E23" t="s">
        <v>9</v>
      </c>
      <c r="F23" t="s">
        <v>135</v>
      </c>
      <c r="G23">
        <v>2</v>
      </c>
      <c r="H23">
        <v>2</v>
      </c>
      <c r="I23">
        <v>0</v>
      </c>
      <c r="J23">
        <v>1</v>
      </c>
      <c r="K23" t="s">
        <v>68</v>
      </c>
      <c r="L23" s="18">
        <v>0.3125</v>
      </c>
      <c r="M23" t="s">
        <v>68</v>
      </c>
      <c r="N23" s="18">
        <v>0.35416666666666669</v>
      </c>
      <c r="O23" t="s">
        <v>11</v>
      </c>
      <c r="P23" t="s">
        <v>14</v>
      </c>
      <c r="Q23" t="s">
        <v>13</v>
      </c>
      <c r="T23" s="18">
        <v>0</v>
      </c>
      <c r="W23" s="18">
        <v>0</v>
      </c>
      <c r="Y23">
        <v>0</v>
      </c>
      <c r="Z23">
        <v>0</v>
      </c>
      <c r="AC23">
        <v>19</v>
      </c>
    </row>
    <row r="24" spans="1:29" x14ac:dyDescent="0.25">
      <c r="A24">
        <v>134195305</v>
      </c>
      <c r="B24">
        <v>2030707957</v>
      </c>
      <c r="C24">
        <v>220</v>
      </c>
      <c r="E24" t="s">
        <v>9</v>
      </c>
      <c r="F24" t="s">
        <v>136</v>
      </c>
      <c r="G24">
        <v>2</v>
      </c>
      <c r="H24">
        <v>2</v>
      </c>
      <c r="I24">
        <v>0</v>
      </c>
      <c r="J24">
        <v>1</v>
      </c>
      <c r="K24" t="s">
        <v>68</v>
      </c>
      <c r="L24" s="18">
        <v>0.3125</v>
      </c>
      <c r="M24" t="s">
        <v>68</v>
      </c>
      <c r="N24" s="18">
        <v>0.35416666666666669</v>
      </c>
      <c r="O24" t="s">
        <v>11</v>
      </c>
      <c r="P24" t="s">
        <v>14</v>
      </c>
      <c r="Q24" t="s">
        <v>13</v>
      </c>
      <c r="T24" s="18">
        <v>0</v>
      </c>
      <c r="W24" s="18">
        <v>0</v>
      </c>
      <c r="Y24">
        <v>0</v>
      </c>
      <c r="Z24">
        <v>0</v>
      </c>
      <c r="AC24">
        <v>19</v>
      </c>
    </row>
    <row r="25" spans="1:29" x14ac:dyDescent="0.25">
      <c r="A25">
        <v>134624687</v>
      </c>
      <c r="B25">
        <v>2030707957</v>
      </c>
      <c r="C25">
        <v>290</v>
      </c>
      <c r="E25" t="s">
        <v>9</v>
      </c>
      <c r="F25" t="s">
        <v>59</v>
      </c>
      <c r="G25">
        <v>2</v>
      </c>
      <c r="H25">
        <v>2</v>
      </c>
      <c r="I25">
        <v>0</v>
      </c>
      <c r="J25">
        <v>1</v>
      </c>
      <c r="K25" t="s">
        <v>68</v>
      </c>
      <c r="L25" s="18">
        <v>0.3125</v>
      </c>
      <c r="M25" t="s">
        <v>68</v>
      </c>
      <c r="N25" s="18">
        <v>0.35416666666666669</v>
      </c>
      <c r="O25" t="s">
        <v>11</v>
      </c>
      <c r="P25" t="s">
        <v>14</v>
      </c>
      <c r="Q25" t="s">
        <v>13</v>
      </c>
      <c r="T25" s="18">
        <v>0</v>
      </c>
      <c r="W25" s="18">
        <v>0</v>
      </c>
      <c r="Y25">
        <v>0</v>
      </c>
      <c r="Z25">
        <v>0</v>
      </c>
      <c r="AC25">
        <v>19</v>
      </c>
    </row>
    <row r="26" spans="1:29" x14ac:dyDescent="0.25">
      <c r="A26">
        <v>132714193</v>
      </c>
      <c r="B26">
        <v>2030740098</v>
      </c>
      <c r="C26">
        <v>230</v>
      </c>
      <c r="D26">
        <v>10</v>
      </c>
      <c r="E26" t="s">
        <v>9</v>
      </c>
      <c r="F26" t="s">
        <v>137</v>
      </c>
      <c r="G26">
        <v>2</v>
      </c>
      <c r="H26">
        <v>4</v>
      </c>
      <c r="I26">
        <v>0</v>
      </c>
      <c r="J26">
        <v>2</v>
      </c>
      <c r="K26" t="s">
        <v>77</v>
      </c>
      <c r="L26" s="18">
        <v>0.5625</v>
      </c>
      <c r="M26" t="s">
        <v>77</v>
      </c>
      <c r="N26" s="18">
        <v>0.62916666666666665</v>
      </c>
      <c r="O26" t="s">
        <v>11</v>
      </c>
      <c r="P26" t="s">
        <v>14</v>
      </c>
      <c r="Q26" t="s">
        <v>13</v>
      </c>
      <c r="T26" s="18">
        <v>0</v>
      </c>
      <c r="W26" s="18">
        <v>0</v>
      </c>
      <c r="Y26">
        <v>0</v>
      </c>
      <c r="Z26">
        <v>0</v>
      </c>
      <c r="AB26" t="s">
        <v>20</v>
      </c>
      <c r="AC26">
        <v>19</v>
      </c>
    </row>
    <row r="27" spans="1:29" x14ac:dyDescent="0.25">
      <c r="A27">
        <v>132714192</v>
      </c>
      <c r="B27">
        <v>2030740098</v>
      </c>
      <c r="C27">
        <v>230</v>
      </c>
      <c r="E27" t="s">
        <v>9</v>
      </c>
      <c r="F27" t="s">
        <v>138</v>
      </c>
      <c r="G27">
        <v>2</v>
      </c>
      <c r="H27">
        <v>4</v>
      </c>
      <c r="I27">
        <v>0</v>
      </c>
      <c r="J27">
        <v>2</v>
      </c>
      <c r="K27" t="s">
        <v>77</v>
      </c>
      <c r="L27" s="18">
        <v>0.5625</v>
      </c>
      <c r="M27" t="s">
        <v>77</v>
      </c>
      <c r="N27" s="18">
        <v>0.62916666666666665</v>
      </c>
      <c r="O27" t="s">
        <v>11</v>
      </c>
      <c r="P27" t="s">
        <v>14</v>
      </c>
      <c r="Q27" t="s">
        <v>13</v>
      </c>
      <c r="T27" s="18">
        <v>0</v>
      </c>
      <c r="W27" s="18">
        <v>0</v>
      </c>
      <c r="Y27">
        <v>0</v>
      </c>
      <c r="Z27">
        <v>0</v>
      </c>
      <c r="AB27" t="s">
        <v>20</v>
      </c>
      <c r="AC27">
        <v>19</v>
      </c>
    </row>
    <row r="28" spans="1:29" x14ac:dyDescent="0.25">
      <c r="A28">
        <v>132175948</v>
      </c>
      <c r="B28">
        <v>2031067830</v>
      </c>
      <c r="C28">
        <v>30</v>
      </c>
      <c r="E28" t="s">
        <v>9</v>
      </c>
      <c r="F28" t="s">
        <v>144</v>
      </c>
      <c r="G28">
        <v>2</v>
      </c>
      <c r="H28">
        <v>4</v>
      </c>
      <c r="I28">
        <v>0</v>
      </c>
      <c r="J28">
        <v>2</v>
      </c>
      <c r="K28" t="s">
        <v>68</v>
      </c>
      <c r="L28" s="18">
        <v>0.3125</v>
      </c>
      <c r="M28" t="s">
        <v>68</v>
      </c>
      <c r="N28" s="18">
        <v>0.39583333333333331</v>
      </c>
      <c r="O28" t="s">
        <v>11</v>
      </c>
      <c r="P28" t="s">
        <v>14</v>
      </c>
      <c r="Q28" t="s">
        <v>13</v>
      </c>
      <c r="T28" s="18">
        <v>0</v>
      </c>
      <c r="W28" s="19">
        <v>0</v>
      </c>
      <c r="Y28">
        <v>0</v>
      </c>
      <c r="Z28">
        <v>0</v>
      </c>
      <c r="AB28" t="s">
        <v>20</v>
      </c>
      <c r="AC28">
        <v>19</v>
      </c>
    </row>
    <row r="29" spans="1:29" x14ac:dyDescent="0.25">
      <c r="A29">
        <v>132175955</v>
      </c>
      <c r="B29">
        <v>2031067830</v>
      </c>
      <c r="C29">
        <v>130</v>
      </c>
      <c r="E29" t="s">
        <v>9</v>
      </c>
      <c r="F29" t="s">
        <v>145</v>
      </c>
      <c r="G29">
        <v>2</v>
      </c>
      <c r="H29">
        <v>4</v>
      </c>
      <c r="I29">
        <v>0</v>
      </c>
      <c r="J29">
        <v>2</v>
      </c>
      <c r="K29" t="s">
        <v>74</v>
      </c>
      <c r="L29" s="18">
        <v>0.4375</v>
      </c>
      <c r="M29" t="s">
        <v>74</v>
      </c>
      <c r="N29" s="18">
        <v>0.5625</v>
      </c>
      <c r="O29" t="s">
        <v>11</v>
      </c>
      <c r="P29" t="s">
        <v>14</v>
      </c>
      <c r="Q29" t="s">
        <v>13</v>
      </c>
      <c r="T29" s="18">
        <v>0</v>
      </c>
      <c r="W29" s="18">
        <v>0</v>
      </c>
      <c r="Y29">
        <v>0</v>
      </c>
      <c r="Z29">
        <v>0</v>
      </c>
      <c r="AB29" t="s">
        <v>20</v>
      </c>
      <c r="AC29">
        <v>19</v>
      </c>
    </row>
    <row r="30" spans="1:29" x14ac:dyDescent="0.25">
      <c r="A30">
        <v>131922793</v>
      </c>
      <c r="B30">
        <v>2031080650</v>
      </c>
      <c r="C30">
        <v>10</v>
      </c>
      <c r="E30" t="s">
        <v>9</v>
      </c>
      <c r="F30" t="s">
        <v>22</v>
      </c>
      <c r="G30">
        <v>2</v>
      </c>
      <c r="H30">
        <v>12</v>
      </c>
      <c r="I30">
        <v>0</v>
      </c>
      <c r="J30">
        <v>6</v>
      </c>
      <c r="K30" t="s">
        <v>68</v>
      </c>
      <c r="L30" s="18">
        <v>0.62083333333333335</v>
      </c>
      <c r="M30" t="s">
        <v>74</v>
      </c>
      <c r="N30" s="18">
        <v>0.45416666666666666</v>
      </c>
      <c r="O30" t="s">
        <v>41</v>
      </c>
      <c r="P30" t="s">
        <v>14</v>
      </c>
      <c r="Q30" t="s">
        <v>13</v>
      </c>
      <c r="T30" s="18">
        <v>0</v>
      </c>
      <c r="W30" s="18">
        <v>1</v>
      </c>
      <c r="X30" t="s">
        <v>24</v>
      </c>
      <c r="Y30">
        <v>0</v>
      </c>
      <c r="Z30">
        <v>0</v>
      </c>
      <c r="AC30">
        <v>19</v>
      </c>
    </row>
    <row r="31" spans="1:29" x14ac:dyDescent="0.25">
      <c r="A31">
        <v>132940829</v>
      </c>
      <c r="B31">
        <v>2031182582</v>
      </c>
      <c r="C31">
        <v>66</v>
      </c>
      <c r="E31" t="s">
        <v>9</v>
      </c>
      <c r="F31" t="s">
        <v>146</v>
      </c>
      <c r="G31">
        <v>2</v>
      </c>
      <c r="H31">
        <v>4</v>
      </c>
      <c r="I31">
        <v>0</v>
      </c>
      <c r="J31">
        <v>2</v>
      </c>
      <c r="K31" t="s">
        <v>74</v>
      </c>
      <c r="L31" s="18">
        <v>0.37083333333333335</v>
      </c>
      <c r="M31" t="s">
        <v>74</v>
      </c>
      <c r="N31" s="18">
        <v>0.4375</v>
      </c>
      <c r="O31" t="s">
        <v>11</v>
      </c>
      <c r="P31" t="s">
        <v>14</v>
      </c>
      <c r="Q31" t="s">
        <v>13</v>
      </c>
      <c r="T31" s="18">
        <v>0</v>
      </c>
      <c r="W31" s="18">
        <v>0</v>
      </c>
      <c r="Y31">
        <v>0</v>
      </c>
      <c r="Z31">
        <v>0</v>
      </c>
      <c r="AA31">
        <v>2</v>
      </c>
      <c r="AB31" t="s">
        <v>20</v>
      </c>
      <c r="AC31">
        <v>19</v>
      </c>
    </row>
    <row r="32" spans="1:29" x14ac:dyDescent="0.25">
      <c r="A32">
        <v>132580092</v>
      </c>
      <c r="B32">
        <v>2031182582</v>
      </c>
      <c r="C32">
        <v>70</v>
      </c>
      <c r="E32" t="s">
        <v>9</v>
      </c>
      <c r="F32" t="s">
        <v>147</v>
      </c>
      <c r="G32">
        <v>2</v>
      </c>
      <c r="H32">
        <v>4</v>
      </c>
      <c r="I32">
        <v>0</v>
      </c>
      <c r="J32">
        <v>2</v>
      </c>
      <c r="K32" t="s">
        <v>74</v>
      </c>
      <c r="L32" s="18">
        <v>0.4375</v>
      </c>
      <c r="M32" t="s">
        <v>74</v>
      </c>
      <c r="N32" s="18">
        <v>0.54583333333333328</v>
      </c>
      <c r="O32" t="s">
        <v>11</v>
      </c>
      <c r="P32" t="s">
        <v>14</v>
      </c>
      <c r="Q32" t="s">
        <v>13</v>
      </c>
      <c r="T32" s="18">
        <v>0</v>
      </c>
      <c r="W32" s="18">
        <v>0</v>
      </c>
      <c r="Y32">
        <v>0</v>
      </c>
      <c r="Z32">
        <v>0</v>
      </c>
      <c r="AA32">
        <v>2</v>
      </c>
      <c r="AB32" t="s">
        <v>20</v>
      </c>
      <c r="AC32">
        <v>19</v>
      </c>
    </row>
    <row r="33" spans="1:29" x14ac:dyDescent="0.25">
      <c r="A33">
        <v>132685317</v>
      </c>
      <c r="B33">
        <v>2031202862</v>
      </c>
      <c r="C33">
        <v>20</v>
      </c>
      <c r="E33" t="s">
        <v>9</v>
      </c>
      <c r="F33" t="s">
        <v>148</v>
      </c>
      <c r="G33">
        <v>2</v>
      </c>
      <c r="H33">
        <v>6</v>
      </c>
      <c r="I33">
        <v>0</v>
      </c>
      <c r="J33">
        <v>3</v>
      </c>
      <c r="K33" t="s">
        <v>68</v>
      </c>
      <c r="L33" s="18">
        <v>0.47916666666666669</v>
      </c>
      <c r="M33" t="s">
        <v>68</v>
      </c>
      <c r="N33" s="18">
        <v>0.62083333333333335</v>
      </c>
      <c r="O33" t="s">
        <v>11</v>
      </c>
      <c r="P33" t="s">
        <v>14</v>
      </c>
      <c r="Q33" t="s">
        <v>13</v>
      </c>
      <c r="T33" s="18">
        <v>0</v>
      </c>
      <c r="W33" s="18">
        <v>1</v>
      </c>
      <c r="X33" t="s">
        <v>24</v>
      </c>
      <c r="Y33">
        <v>0</v>
      </c>
      <c r="Z33">
        <v>0</v>
      </c>
      <c r="AC33">
        <v>19</v>
      </c>
    </row>
    <row r="34" spans="1:29" x14ac:dyDescent="0.25">
      <c r="A34">
        <v>132685324</v>
      </c>
      <c r="B34">
        <v>2031202862</v>
      </c>
      <c r="C34">
        <v>35</v>
      </c>
      <c r="E34" t="s">
        <v>9</v>
      </c>
      <c r="F34" t="s">
        <v>149</v>
      </c>
      <c r="G34">
        <v>2</v>
      </c>
      <c r="H34">
        <v>2</v>
      </c>
      <c r="I34">
        <v>0</v>
      </c>
      <c r="J34">
        <v>1</v>
      </c>
      <c r="K34" t="s">
        <v>68</v>
      </c>
      <c r="L34" s="18">
        <v>0.6875</v>
      </c>
      <c r="M34" t="s">
        <v>68</v>
      </c>
      <c r="N34" s="18">
        <v>0.72083333333333333</v>
      </c>
      <c r="O34" t="s">
        <v>11</v>
      </c>
      <c r="P34" t="s">
        <v>14</v>
      </c>
      <c r="Q34" t="s">
        <v>13</v>
      </c>
      <c r="T34" s="18">
        <v>0</v>
      </c>
      <c r="W34" s="18">
        <v>1</v>
      </c>
      <c r="X34" t="s">
        <v>24</v>
      </c>
      <c r="Y34">
        <v>0</v>
      </c>
      <c r="Z34">
        <v>0</v>
      </c>
      <c r="AC34">
        <v>19</v>
      </c>
    </row>
    <row r="35" spans="1:29" x14ac:dyDescent="0.25">
      <c r="A35">
        <v>132685320</v>
      </c>
      <c r="B35">
        <v>2031202862</v>
      </c>
      <c r="C35">
        <v>50</v>
      </c>
      <c r="E35" t="s">
        <v>9</v>
      </c>
      <c r="F35" t="s">
        <v>150</v>
      </c>
      <c r="G35">
        <v>2</v>
      </c>
      <c r="H35">
        <v>8</v>
      </c>
      <c r="I35">
        <v>0</v>
      </c>
      <c r="J35">
        <v>4</v>
      </c>
      <c r="K35" t="s">
        <v>74</v>
      </c>
      <c r="L35" s="18">
        <v>0.34583333333333333</v>
      </c>
      <c r="M35" t="s">
        <v>74</v>
      </c>
      <c r="N35" s="18">
        <v>0.47916666666666669</v>
      </c>
      <c r="O35" t="s">
        <v>11</v>
      </c>
      <c r="P35" t="s">
        <v>14</v>
      </c>
      <c r="Q35" t="s">
        <v>13</v>
      </c>
      <c r="T35" s="18">
        <v>0</v>
      </c>
      <c r="W35" s="18">
        <v>1</v>
      </c>
      <c r="X35" t="s">
        <v>24</v>
      </c>
      <c r="Y35">
        <v>0</v>
      </c>
      <c r="Z35">
        <v>0</v>
      </c>
      <c r="AC35">
        <v>19</v>
      </c>
    </row>
    <row r="36" spans="1:29" x14ac:dyDescent="0.25">
      <c r="A36">
        <v>132685321</v>
      </c>
      <c r="B36">
        <v>2031202862</v>
      </c>
      <c r="C36">
        <v>60</v>
      </c>
      <c r="E36" t="s">
        <v>9</v>
      </c>
      <c r="F36" t="s">
        <v>151</v>
      </c>
      <c r="G36">
        <v>2</v>
      </c>
      <c r="H36">
        <v>6</v>
      </c>
      <c r="I36">
        <v>0</v>
      </c>
      <c r="J36">
        <v>3</v>
      </c>
      <c r="K36" t="s">
        <v>74</v>
      </c>
      <c r="L36" s="18">
        <v>0.47916666666666669</v>
      </c>
      <c r="M36" t="s">
        <v>74</v>
      </c>
      <c r="N36" s="18">
        <v>0.62083333333333335</v>
      </c>
      <c r="O36" t="s">
        <v>11</v>
      </c>
      <c r="P36" t="s">
        <v>14</v>
      </c>
      <c r="Q36" t="s">
        <v>13</v>
      </c>
      <c r="T36" s="18">
        <v>0</v>
      </c>
      <c r="W36" s="18">
        <v>1</v>
      </c>
      <c r="X36" t="s">
        <v>24</v>
      </c>
      <c r="Y36">
        <v>0</v>
      </c>
      <c r="Z36">
        <v>0</v>
      </c>
      <c r="AC36">
        <v>19</v>
      </c>
    </row>
    <row r="37" spans="1:29" x14ac:dyDescent="0.25">
      <c r="A37">
        <v>133107751</v>
      </c>
      <c r="B37">
        <v>2031240660</v>
      </c>
      <c r="C37">
        <v>240</v>
      </c>
      <c r="E37" t="s">
        <v>9</v>
      </c>
      <c r="F37" t="s">
        <v>160</v>
      </c>
      <c r="G37">
        <v>2</v>
      </c>
      <c r="H37">
        <v>16</v>
      </c>
      <c r="I37">
        <v>0</v>
      </c>
      <c r="J37">
        <v>8</v>
      </c>
      <c r="K37" t="s">
        <v>68</v>
      </c>
      <c r="L37" s="18">
        <v>0</v>
      </c>
      <c r="M37" t="s">
        <v>68</v>
      </c>
      <c r="N37" s="18">
        <v>0.33333333333333331</v>
      </c>
      <c r="O37" t="s">
        <v>11</v>
      </c>
      <c r="P37" t="s">
        <v>14</v>
      </c>
      <c r="Q37" t="s">
        <v>13</v>
      </c>
      <c r="T37" s="18">
        <v>0</v>
      </c>
      <c r="W37" s="19">
        <v>0</v>
      </c>
      <c r="Y37">
        <v>0</v>
      </c>
      <c r="Z37">
        <v>0</v>
      </c>
      <c r="AA37">
        <v>2</v>
      </c>
      <c r="AB37" t="s">
        <v>20</v>
      </c>
      <c r="AC37">
        <v>19</v>
      </c>
    </row>
    <row r="38" spans="1:29" x14ac:dyDescent="0.25">
      <c r="A38">
        <v>134039678</v>
      </c>
      <c r="B38">
        <v>2031240660</v>
      </c>
      <c r="C38">
        <v>275</v>
      </c>
      <c r="E38" t="s">
        <v>9</v>
      </c>
      <c r="F38" t="s">
        <v>161</v>
      </c>
      <c r="G38">
        <v>2</v>
      </c>
      <c r="H38">
        <v>16</v>
      </c>
      <c r="I38">
        <v>0</v>
      </c>
      <c r="J38">
        <v>8</v>
      </c>
      <c r="K38" t="s">
        <v>68</v>
      </c>
      <c r="L38" s="18">
        <v>0</v>
      </c>
      <c r="M38" t="s">
        <v>68</v>
      </c>
      <c r="N38" s="18">
        <v>0.33333333333333331</v>
      </c>
      <c r="O38" t="s">
        <v>11</v>
      </c>
      <c r="P38" t="s">
        <v>14</v>
      </c>
      <c r="Q38" t="s">
        <v>13</v>
      </c>
      <c r="T38" s="18">
        <v>0</v>
      </c>
      <c r="W38" s="18">
        <v>0</v>
      </c>
      <c r="Y38">
        <v>0</v>
      </c>
      <c r="Z38">
        <v>0</v>
      </c>
      <c r="AA38">
        <v>2</v>
      </c>
      <c r="AB38" t="s">
        <v>20</v>
      </c>
      <c r="AC38">
        <v>19</v>
      </c>
    </row>
    <row r="39" spans="1:29" x14ac:dyDescent="0.25">
      <c r="A39">
        <v>133107765</v>
      </c>
      <c r="B39">
        <v>2031240660</v>
      </c>
      <c r="C39">
        <v>360</v>
      </c>
      <c r="E39" t="s">
        <v>9</v>
      </c>
      <c r="F39" t="s">
        <v>162</v>
      </c>
      <c r="G39">
        <v>2</v>
      </c>
      <c r="H39">
        <v>16</v>
      </c>
      <c r="I39">
        <v>0</v>
      </c>
      <c r="J39">
        <v>8</v>
      </c>
      <c r="K39" t="s">
        <v>68</v>
      </c>
      <c r="L39" s="18">
        <v>0</v>
      </c>
      <c r="M39" t="s">
        <v>68</v>
      </c>
      <c r="N39" s="18">
        <v>0.33333333333333331</v>
      </c>
      <c r="O39" t="s">
        <v>11</v>
      </c>
      <c r="P39" t="s">
        <v>14</v>
      </c>
      <c r="Q39" t="s">
        <v>13</v>
      </c>
      <c r="T39" s="18">
        <v>0</v>
      </c>
      <c r="W39" s="18">
        <v>0</v>
      </c>
      <c r="Y39">
        <v>0</v>
      </c>
      <c r="Z39">
        <v>0</v>
      </c>
      <c r="AA39">
        <v>2</v>
      </c>
      <c r="AB39" t="s">
        <v>20</v>
      </c>
      <c r="AC39">
        <v>19</v>
      </c>
    </row>
    <row r="40" spans="1:29" x14ac:dyDescent="0.25">
      <c r="A40">
        <v>133107769</v>
      </c>
      <c r="B40">
        <v>2031240660</v>
      </c>
      <c r="C40">
        <v>400</v>
      </c>
      <c r="E40" t="s">
        <v>9</v>
      </c>
      <c r="F40" t="s">
        <v>163</v>
      </c>
      <c r="G40">
        <v>2</v>
      </c>
      <c r="H40">
        <v>12</v>
      </c>
      <c r="I40">
        <v>0</v>
      </c>
      <c r="J40">
        <v>6</v>
      </c>
      <c r="K40" t="s">
        <v>68</v>
      </c>
      <c r="L40" s="18">
        <v>0</v>
      </c>
      <c r="M40" t="s">
        <v>68</v>
      </c>
      <c r="N40" s="18">
        <v>0.25</v>
      </c>
      <c r="O40" t="s">
        <v>11</v>
      </c>
      <c r="P40" t="s">
        <v>14</v>
      </c>
      <c r="Q40" t="s">
        <v>13</v>
      </c>
      <c r="T40" s="18">
        <v>0</v>
      </c>
      <c r="W40" s="18">
        <v>0</v>
      </c>
      <c r="Y40">
        <v>0</v>
      </c>
      <c r="Z40">
        <v>0</v>
      </c>
      <c r="AA40">
        <v>2</v>
      </c>
      <c r="AB40" t="s">
        <v>20</v>
      </c>
      <c r="AC40">
        <v>19</v>
      </c>
    </row>
    <row r="41" spans="1:29" x14ac:dyDescent="0.25">
      <c r="A41">
        <v>133107772</v>
      </c>
      <c r="B41">
        <v>2031240660</v>
      </c>
      <c r="C41">
        <v>430</v>
      </c>
      <c r="E41" t="s">
        <v>9</v>
      </c>
      <c r="F41" t="s">
        <v>164</v>
      </c>
      <c r="G41">
        <v>2</v>
      </c>
      <c r="H41">
        <v>12</v>
      </c>
      <c r="I41">
        <v>0</v>
      </c>
      <c r="J41">
        <v>6</v>
      </c>
      <c r="K41" t="s">
        <v>68</v>
      </c>
      <c r="L41" s="18">
        <v>8.3333333333333329E-2</v>
      </c>
      <c r="M41" t="s">
        <v>68</v>
      </c>
      <c r="N41" s="18">
        <v>0.33333333333333331</v>
      </c>
      <c r="O41" t="s">
        <v>11</v>
      </c>
      <c r="P41" t="s">
        <v>14</v>
      </c>
      <c r="Q41" t="s">
        <v>13</v>
      </c>
      <c r="T41" s="18">
        <v>0</v>
      </c>
      <c r="W41" s="18">
        <v>0</v>
      </c>
      <c r="Y41">
        <v>0</v>
      </c>
      <c r="Z41">
        <v>0</v>
      </c>
      <c r="AA41">
        <v>2</v>
      </c>
      <c r="AB41" t="s">
        <v>20</v>
      </c>
      <c r="AC41">
        <v>19</v>
      </c>
    </row>
    <row r="42" spans="1:29" x14ac:dyDescent="0.25">
      <c r="A42">
        <v>133107784</v>
      </c>
      <c r="B42">
        <v>2031240660</v>
      </c>
      <c r="C42">
        <v>550</v>
      </c>
      <c r="E42" t="s">
        <v>9</v>
      </c>
      <c r="F42" t="s">
        <v>165</v>
      </c>
      <c r="G42">
        <v>2</v>
      </c>
      <c r="H42">
        <v>4</v>
      </c>
      <c r="I42">
        <v>0</v>
      </c>
      <c r="J42">
        <v>2</v>
      </c>
      <c r="K42" t="s">
        <v>68</v>
      </c>
      <c r="L42" s="18">
        <v>0.16666666666666666</v>
      </c>
      <c r="M42" t="s">
        <v>68</v>
      </c>
      <c r="N42" s="18">
        <v>0.25</v>
      </c>
      <c r="O42" t="s">
        <v>11</v>
      </c>
      <c r="P42" t="s">
        <v>14</v>
      </c>
      <c r="Q42" t="s">
        <v>13</v>
      </c>
      <c r="T42" s="18">
        <v>0</v>
      </c>
      <c r="W42" s="19">
        <v>0</v>
      </c>
      <c r="Y42">
        <v>0</v>
      </c>
      <c r="Z42">
        <v>0</v>
      </c>
      <c r="AA42">
        <v>2</v>
      </c>
      <c r="AB42" t="s">
        <v>20</v>
      </c>
      <c r="AC42">
        <v>19</v>
      </c>
    </row>
    <row r="43" spans="1:29" x14ac:dyDescent="0.25">
      <c r="A43">
        <v>133425166</v>
      </c>
      <c r="B43">
        <v>2031265635</v>
      </c>
      <c r="C43">
        <v>160</v>
      </c>
      <c r="E43" t="s">
        <v>9</v>
      </c>
      <c r="F43" t="s">
        <v>166</v>
      </c>
      <c r="G43">
        <v>4</v>
      </c>
      <c r="H43">
        <v>24</v>
      </c>
      <c r="I43">
        <v>41</v>
      </c>
      <c r="J43">
        <v>6</v>
      </c>
      <c r="K43" t="s">
        <v>68</v>
      </c>
      <c r="L43" s="18">
        <v>0.16666666666666666</v>
      </c>
      <c r="M43" t="s">
        <v>68</v>
      </c>
      <c r="N43" s="18">
        <v>0.41666666666666669</v>
      </c>
      <c r="O43" t="s">
        <v>11</v>
      </c>
      <c r="P43" t="s">
        <v>167</v>
      </c>
      <c r="Q43" t="s">
        <v>13</v>
      </c>
      <c r="T43" s="18">
        <v>0</v>
      </c>
      <c r="W43" s="19">
        <v>0</v>
      </c>
      <c r="Y43">
        <v>0</v>
      </c>
      <c r="Z43">
        <v>0</v>
      </c>
      <c r="AB43" t="s">
        <v>20</v>
      </c>
      <c r="AC43">
        <v>19</v>
      </c>
    </row>
    <row r="44" spans="1:29" x14ac:dyDescent="0.25">
      <c r="A44">
        <v>133425171</v>
      </c>
      <c r="B44">
        <v>2031265635</v>
      </c>
      <c r="C44">
        <v>260</v>
      </c>
      <c r="E44" t="s">
        <v>9</v>
      </c>
      <c r="F44" t="s">
        <v>168</v>
      </c>
      <c r="G44">
        <v>3</v>
      </c>
      <c r="H44">
        <v>12</v>
      </c>
      <c r="I44">
        <v>0</v>
      </c>
      <c r="J44">
        <v>4</v>
      </c>
      <c r="K44" t="s">
        <v>68</v>
      </c>
      <c r="L44" s="18">
        <v>8.3333333333333329E-2</v>
      </c>
      <c r="M44" t="s">
        <v>68</v>
      </c>
      <c r="N44" s="18">
        <v>0.25</v>
      </c>
      <c r="O44" t="s">
        <v>11</v>
      </c>
      <c r="P44" t="s">
        <v>12</v>
      </c>
      <c r="Q44" t="s">
        <v>13</v>
      </c>
      <c r="T44" s="18">
        <v>0</v>
      </c>
      <c r="W44" s="18">
        <v>0</v>
      </c>
      <c r="Y44">
        <v>0</v>
      </c>
      <c r="Z44">
        <v>0</v>
      </c>
      <c r="AB44" t="s">
        <v>20</v>
      </c>
      <c r="AC44">
        <v>19</v>
      </c>
    </row>
    <row r="45" spans="1:29" x14ac:dyDescent="0.25">
      <c r="A45">
        <v>133425175</v>
      </c>
      <c r="B45">
        <v>2031265635</v>
      </c>
      <c r="C45">
        <v>300</v>
      </c>
      <c r="E45" t="s">
        <v>9</v>
      </c>
      <c r="F45" t="s">
        <v>169</v>
      </c>
      <c r="G45">
        <v>2</v>
      </c>
      <c r="H45">
        <v>8</v>
      </c>
      <c r="I45">
        <v>0</v>
      </c>
      <c r="J45">
        <v>4</v>
      </c>
      <c r="K45" t="s">
        <v>68</v>
      </c>
      <c r="L45" s="18">
        <v>8.3333333333333332E-3</v>
      </c>
      <c r="M45" t="s">
        <v>68</v>
      </c>
      <c r="N45" s="18">
        <v>0.17499999999999999</v>
      </c>
      <c r="O45" t="s">
        <v>11</v>
      </c>
      <c r="P45" t="s">
        <v>12</v>
      </c>
      <c r="Q45" t="s">
        <v>13</v>
      </c>
      <c r="T45" s="18">
        <v>0</v>
      </c>
      <c r="W45" s="18">
        <v>0</v>
      </c>
      <c r="Y45">
        <v>0</v>
      </c>
      <c r="Z45">
        <v>0</v>
      </c>
      <c r="AB45" t="s">
        <v>20</v>
      </c>
      <c r="AC45">
        <v>19</v>
      </c>
    </row>
    <row r="46" spans="1:29" x14ac:dyDescent="0.25">
      <c r="A46">
        <v>133425177</v>
      </c>
      <c r="B46">
        <v>2031265635</v>
      </c>
      <c r="C46">
        <v>320</v>
      </c>
      <c r="E46" t="s">
        <v>9</v>
      </c>
      <c r="F46" t="s">
        <v>170</v>
      </c>
      <c r="G46">
        <v>2</v>
      </c>
      <c r="H46">
        <v>12</v>
      </c>
      <c r="I46">
        <v>0</v>
      </c>
      <c r="J46">
        <v>6</v>
      </c>
      <c r="K46" t="s">
        <v>68</v>
      </c>
      <c r="L46" s="18">
        <v>0</v>
      </c>
      <c r="M46" t="s">
        <v>68</v>
      </c>
      <c r="N46" s="18">
        <v>0.25</v>
      </c>
      <c r="O46" t="s">
        <v>11</v>
      </c>
      <c r="P46" t="s">
        <v>12</v>
      </c>
      <c r="Q46" t="s">
        <v>13</v>
      </c>
      <c r="T46" s="18">
        <v>0</v>
      </c>
      <c r="W46" s="18">
        <v>0</v>
      </c>
      <c r="Y46">
        <v>0</v>
      </c>
      <c r="Z46">
        <v>0</v>
      </c>
      <c r="AB46" t="s">
        <v>20</v>
      </c>
      <c r="AC46">
        <v>19</v>
      </c>
    </row>
    <row r="47" spans="1:29" x14ac:dyDescent="0.25">
      <c r="A47">
        <v>134571400</v>
      </c>
      <c r="B47">
        <v>2031265635</v>
      </c>
      <c r="C47">
        <v>400</v>
      </c>
      <c r="E47" t="s">
        <v>9</v>
      </c>
      <c r="F47" t="s">
        <v>171</v>
      </c>
      <c r="G47">
        <v>2</v>
      </c>
      <c r="H47">
        <v>8</v>
      </c>
      <c r="I47">
        <v>0</v>
      </c>
      <c r="J47">
        <v>4</v>
      </c>
      <c r="K47" t="s">
        <v>68</v>
      </c>
      <c r="L47" s="18">
        <v>0</v>
      </c>
      <c r="M47" t="s">
        <v>68</v>
      </c>
      <c r="N47" s="18">
        <v>0.16666666666666666</v>
      </c>
      <c r="O47" t="s">
        <v>11</v>
      </c>
      <c r="P47" t="s">
        <v>12</v>
      </c>
      <c r="Q47" t="s">
        <v>13</v>
      </c>
      <c r="T47" s="18">
        <v>0</v>
      </c>
      <c r="W47" s="18">
        <v>0</v>
      </c>
      <c r="Y47">
        <v>0</v>
      </c>
      <c r="Z47">
        <v>0</v>
      </c>
      <c r="AB47" t="s">
        <v>20</v>
      </c>
      <c r="AC47">
        <v>19</v>
      </c>
    </row>
    <row r="48" spans="1:29" x14ac:dyDescent="0.25">
      <c r="A48">
        <v>134571401</v>
      </c>
      <c r="B48">
        <v>2031265635</v>
      </c>
      <c r="C48">
        <v>410</v>
      </c>
      <c r="E48" t="s">
        <v>9</v>
      </c>
      <c r="F48" t="s">
        <v>172</v>
      </c>
      <c r="G48">
        <v>2</v>
      </c>
      <c r="H48">
        <v>4</v>
      </c>
      <c r="I48">
        <v>0</v>
      </c>
      <c r="J48">
        <v>2</v>
      </c>
      <c r="K48" t="s">
        <v>68</v>
      </c>
      <c r="L48" s="18">
        <v>0</v>
      </c>
      <c r="M48" t="s">
        <v>68</v>
      </c>
      <c r="N48" s="18">
        <v>8.3333333333333329E-2</v>
      </c>
      <c r="O48" t="s">
        <v>11</v>
      </c>
      <c r="P48" t="s">
        <v>12</v>
      </c>
      <c r="Q48" t="s">
        <v>13</v>
      </c>
      <c r="T48" s="18">
        <v>0</v>
      </c>
      <c r="W48" s="18">
        <v>0</v>
      </c>
      <c r="Y48">
        <v>0</v>
      </c>
      <c r="Z48">
        <v>0</v>
      </c>
      <c r="AB48" t="s">
        <v>20</v>
      </c>
      <c r="AC48">
        <v>19</v>
      </c>
    </row>
    <row r="49" spans="1:29" x14ac:dyDescent="0.25">
      <c r="A49">
        <v>133262409</v>
      </c>
      <c r="B49">
        <v>2031294338</v>
      </c>
      <c r="C49">
        <v>10</v>
      </c>
      <c r="E49" t="s">
        <v>9</v>
      </c>
      <c r="F49" t="s">
        <v>175</v>
      </c>
      <c r="G49">
        <v>2</v>
      </c>
      <c r="H49">
        <v>18</v>
      </c>
      <c r="I49">
        <v>0</v>
      </c>
      <c r="J49">
        <v>9</v>
      </c>
      <c r="K49" t="s">
        <v>66</v>
      </c>
      <c r="L49" s="18">
        <v>0.6791666666666667</v>
      </c>
      <c r="M49" t="s">
        <v>77</v>
      </c>
      <c r="N49" s="18">
        <v>0.60416666666666663</v>
      </c>
      <c r="O49" t="s">
        <v>11</v>
      </c>
      <c r="P49" t="s">
        <v>14</v>
      </c>
      <c r="Q49" t="s">
        <v>13</v>
      </c>
      <c r="T49" s="18">
        <v>0</v>
      </c>
      <c r="W49" s="18">
        <v>0</v>
      </c>
      <c r="Y49">
        <v>0</v>
      </c>
      <c r="Z49">
        <v>0</v>
      </c>
      <c r="AA49">
        <v>1</v>
      </c>
      <c r="AB49" t="s">
        <v>20</v>
      </c>
      <c r="AC49">
        <v>19</v>
      </c>
    </row>
    <row r="50" spans="1:29" x14ac:dyDescent="0.25">
      <c r="A50">
        <v>133833841</v>
      </c>
      <c r="B50">
        <v>2031324297</v>
      </c>
      <c r="C50">
        <v>80</v>
      </c>
      <c r="E50" t="s">
        <v>9</v>
      </c>
      <c r="F50" t="s">
        <v>176</v>
      </c>
      <c r="G50">
        <v>2</v>
      </c>
      <c r="H50">
        <v>4</v>
      </c>
      <c r="I50">
        <v>0</v>
      </c>
      <c r="J50">
        <v>2</v>
      </c>
      <c r="K50" t="s">
        <v>68</v>
      </c>
      <c r="L50" s="18">
        <v>0</v>
      </c>
      <c r="M50" t="s">
        <v>68</v>
      </c>
      <c r="N50" s="18">
        <v>8.3333333333333329E-2</v>
      </c>
      <c r="O50" t="s">
        <v>11</v>
      </c>
      <c r="P50" t="s">
        <v>14</v>
      </c>
      <c r="Q50" t="s">
        <v>13</v>
      </c>
      <c r="T50" s="18">
        <v>0</v>
      </c>
      <c r="W50" s="18">
        <v>0</v>
      </c>
      <c r="Y50">
        <v>0</v>
      </c>
      <c r="Z50">
        <v>0</v>
      </c>
      <c r="AB50" t="s">
        <v>20</v>
      </c>
      <c r="AC50">
        <v>19</v>
      </c>
    </row>
    <row r="51" spans="1:29" x14ac:dyDescent="0.25">
      <c r="A51">
        <v>133833842</v>
      </c>
      <c r="B51">
        <v>2031324297</v>
      </c>
      <c r="C51">
        <v>90</v>
      </c>
      <c r="E51" t="s">
        <v>9</v>
      </c>
      <c r="F51" t="s">
        <v>177</v>
      </c>
      <c r="G51">
        <v>1</v>
      </c>
      <c r="H51">
        <v>0.2</v>
      </c>
      <c r="I51">
        <v>0</v>
      </c>
      <c r="J51">
        <v>0.2</v>
      </c>
      <c r="K51" t="s">
        <v>68</v>
      </c>
      <c r="L51" s="18">
        <v>0</v>
      </c>
      <c r="M51" t="s">
        <v>68</v>
      </c>
      <c r="N51" s="18">
        <v>8.3333333333333332E-3</v>
      </c>
      <c r="O51" t="s">
        <v>11</v>
      </c>
      <c r="P51" t="s">
        <v>14</v>
      </c>
      <c r="Q51" t="s">
        <v>13</v>
      </c>
      <c r="T51" s="18">
        <v>0</v>
      </c>
      <c r="W51" s="18">
        <v>0</v>
      </c>
      <c r="Y51">
        <v>0</v>
      </c>
      <c r="Z51">
        <v>0</v>
      </c>
      <c r="AB51" t="s">
        <v>20</v>
      </c>
      <c r="AC51">
        <v>19</v>
      </c>
    </row>
    <row r="52" spans="1:29" x14ac:dyDescent="0.25">
      <c r="A52">
        <v>133558639</v>
      </c>
      <c r="B52">
        <v>2031349363</v>
      </c>
      <c r="C52">
        <v>20</v>
      </c>
      <c r="E52" t="s">
        <v>9</v>
      </c>
      <c r="F52" t="s">
        <v>181</v>
      </c>
      <c r="G52">
        <v>2</v>
      </c>
      <c r="H52">
        <v>8</v>
      </c>
      <c r="I52">
        <v>0</v>
      </c>
      <c r="J52">
        <v>4</v>
      </c>
      <c r="K52" t="s">
        <v>66</v>
      </c>
      <c r="L52" s="18">
        <v>0.63946759259259256</v>
      </c>
      <c r="M52" t="s">
        <v>77</v>
      </c>
      <c r="N52" s="18">
        <v>0.35613425925925923</v>
      </c>
      <c r="O52" t="s">
        <v>11</v>
      </c>
      <c r="P52" t="s">
        <v>14</v>
      </c>
      <c r="Q52" t="s">
        <v>13</v>
      </c>
      <c r="T52" s="18">
        <v>0</v>
      </c>
      <c r="W52" s="19">
        <v>1</v>
      </c>
      <c r="Y52">
        <v>0</v>
      </c>
      <c r="Z52">
        <v>0</v>
      </c>
      <c r="AC52">
        <v>19</v>
      </c>
    </row>
    <row r="53" spans="1:29" x14ac:dyDescent="0.25">
      <c r="A53">
        <v>133999476</v>
      </c>
      <c r="B53">
        <v>2031357143</v>
      </c>
      <c r="C53">
        <v>225</v>
      </c>
      <c r="E53" t="s">
        <v>9</v>
      </c>
      <c r="F53" t="s">
        <v>60</v>
      </c>
      <c r="G53">
        <v>1</v>
      </c>
      <c r="H53">
        <v>0.2</v>
      </c>
      <c r="I53">
        <v>0</v>
      </c>
      <c r="J53">
        <v>0.2</v>
      </c>
      <c r="K53" t="s">
        <v>74</v>
      </c>
      <c r="L53" s="18">
        <v>0.33750000000000002</v>
      </c>
      <c r="M53" t="s">
        <v>74</v>
      </c>
      <c r="N53" s="18">
        <v>0.34416666666666668</v>
      </c>
      <c r="O53" t="s">
        <v>15</v>
      </c>
      <c r="P53" t="s">
        <v>14</v>
      </c>
      <c r="Q53" t="s">
        <v>13</v>
      </c>
      <c r="T53" s="18">
        <v>0</v>
      </c>
      <c r="W53" s="18">
        <v>0</v>
      </c>
      <c r="Y53">
        <v>0</v>
      </c>
      <c r="Z53">
        <v>0</v>
      </c>
      <c r="AB53" t="s">
        <v>20</v>
      </c>
      <c r="AC53">
        <v>19</v>
      </c>
    </row>
    <row r="54" spans="1:29" x14ac:dyDescent="0.25">
      <c r="A54">
        <v>134561919</v>
      </c>
      <c r="B54">
        <v>2031417767</v>
      </c>
      <c r="C54">
        <v>40</v>
      </c>
      <c r="E54" t="s">
        <v>9</v>
      </c>
      <c r="F54" t="s">
        <v>186</v>
      </c>
      <c r="G54">
        <v>2</v>
      </c>
      <c r="H54">
        <v>8</v>
      </c>
      <c r="I54">
        <v>0</v>
      </c>
      <c r="J54">
        <v>4</v>
      </c>
      <c r="K54" t="s">
        <v>65</v>
      </c>
      <c r="L54" s="18">
        <v>0.71083333333333332</v>
      </c>
      <c r="M54" t="s">
        <v>66</v>
      </c>
      <c r="N54" s="18">
        <v>0.42749999999999999</v>
      </c>
      <c r="O54" t="s">
        <v>11</v>
      </c>
      <c r="P54" t="s">
        <v>14</v>
      </c>
      <c r="Q54" t="s">
        <v>13</v>
      </c>
      <c r="T54" s="18">
        <v>0</v>
      </c>
      <c r="W54" s="18">
        <v>0</v>
      </c>
      <c r="Y54">
        <v>0</v>
      </c>
      <c r="Z54">
        <v>0</v>
      </c>
      <c r="AA54">
        <v>2</v>
      </c>
      <c r="AB54" t="s">
        <v>20</v>
      </c>
      <c r="AC54">
        <v>19</v>
      </c>
    </row>
    <row r="55" spans="1:29" x14ac:dyDescent="0.25">
      <c r="A55">
        <v>134561921</v>
      </c>
      <c r="B55">
        <v>2031417767</v>
      </c>
      <c r="C55">
        <v>60</v>
      </c>
      <c r="E55" t="s">
        <v>9</v>
      </c>
      <c r="F55" t="s">
        <v>187</v>
      </c>
      <c r="G55">
        <v>1</v>
      </c>
      <c r="H55">
        <v>0.2</v>
      </c>
      <c r="I55">
        <v>0</v>
      </c>
      <c r="J55">
        <v>0.2</v>
      </c>
      <c r="K55" t="s">
        <v>66</v>
      </c>
      <c r="L55" s="18">
        <v>0.43083333333333335</v>
      </c>
      <c r="M55" t="s">
        <v>66</v>
      </c>
      <c r="N55" s="18">
        <v>0.4375</v>
      </c>
      <c r="O55" t="s">
        <v>11</v>
      </c>
      <c r="P55" t="s">
        <v>14</v>
      </c>
      <c r="Q55" t="s">
        <v>13</v>
      </c>
      <c r="T55" s="18">
        <v>0</v>
      </c>
      <c r="W55" s="18">
        <v>0</v>
      </c>
      <c r="Y55">
        <v>0</v>
      </c>
      <c r="Z55">
        <v>0</v>
      </c>
      <c r="AA55">
        <v>2</v>
      </c>
      <c r="AB55" t="s">
        <v>20</v>
      </c>
      <c r="AC55">
        <v>19</v>
      </c>
    </row>
    <row r="56" spans="1:29" x14ac:dyDescent="0.25">
      <c r="A56">
        <v>134004325</v>
      </c>
      <c r="B56">
        <v>2031417768</v>
      </c>
      <c r="C56">
        <v>10</v>
      </c>
      <c r="E56" t="s">
        <v>9</v>
      </c>
      <c r="F56" t="s">
        <v>188</v>
      </c>
      <c r="G56">
        <v>2</v>
      </c>
      <c r="H56">
        <v>8</v>
      </c>
      <c r="I56">
        <v>0</v>
      </c>
      <c r="J56">
        <v>4</v>
      </c>
      <c r="K56" t="s">
        <v>66</v>
      </c>
      <c r="L56" s="18">
        <v>0.54583333333333328</v>
      </c>
      <c r="M56" t="s">
        <v>66</v>
      </c>
      <c r="N56" s="18">
        <v>0.6791666666666667</v>
      </c>
      <c r="O56" t="s">
        <v>11</v>
      </c>
      <c r="P56" t="s">
        <v>14</v>
      </c>
      <c r="Q56" t="s">
        <v>13</v>
      </c>
      <c r="T56" s="18">
        <v>0</v>
      </c>
      <c r="W56" s="18">
        <v>0</v>
      </c>
      <c r="Y56">
        <v>0</v>
      </c>
      <c r="Z56">
        <v>0</v>
      </c>
      <c r="AA56">
        <v>2</v>
      </c>
      <c r="AB56" t="s">
        <v>20</v>
      </c>
      <c r="AC56">
        <v>19</v>
      </c>
    </row>
    <row r="57" spans="1:29" x14ac:dyDescent="0.25">
      <c r="A57">
        <v>134004327</v>
      </c>
      <c r="B57">
        <v>2031417768</v>
      </c>
      <c r="C57">
        <v>30</v>
      </c>
      <c r="E57" t="s">
        <v>9</v>
      </c>
      <c r="F57" t="s">
        <v>189</v>
      </c>
      <c r="G57">
        <v>1</v>
      </c>
      <c r="H57">
        <v>0.2</v>
      </c>
      <c r="I57">
        <v>0</v>
      </c>
      <c r="J57">
        <v>0.2</v>
      </c>
      <c r="K57" t="s">
        <v>66</v>
      </c>
      <c r="L57" s="18">
        <v>0.6825</v>
      </c>
      <c r="M57" t="s">
        <v>66</v>
      </c>
      <c r="N57" s="18">
        <v>0.68916666666666671</v>
      </c>
      <c r="O57" t="s">
        <v>11</v>
      </c>
      <c r="P57" t="s">
        <v>14</v>
      </c>
      <c r="Q57" t="s">
        <v>13</v>
      </c>
      <c r="T57" s="18">
        <v>0</v>
      </c>
      <c r="W57" s="18">
        <v>0</v>
      </c>
      <c r="Y57">
        <v>0</v>
      </c>
      <c r="Z57">
        <v>0</v>
      </c>
      <c r="AA57">
        <v>2</v>
      </c>
      <c r="AB57" t="s">
        <v>20</v>
      </c>
      <c r="AC57">
        <v>19</v>
      </c>
    </row>
    <row r="58" spans="1:29" x14ac:dyDescent="0.25">
      <c r="A58">
        <v>134440813</v>
      </c>
      <c r="B58">
        <v>2031482284</v>
      </c>
      <c r="C58">
        <v>120</v>
      </c>
      <c r="E58" t="s">
        <v>9</v>
      </c>
      <c r="F58" t="s">
        <v>190</v>
      </c>
      <c r="G58">
        <v>2</v>
      </c>
      <c r="H58">
        <v>8</v>
      </c>
      <c r="I58">
        <v>0</v>
      </c>
      <c r="J58">
        <v>4</v>
      </c>
      <c r="K58" t="s">
        <v>68</v>
      </c>
      <c r="L58" s="18">
        <v>0.62083333333333335</v>
      </c>
      <c r="M58" t="s">
        <v>74</v>
      </c>
      <c r="N58" s="18">
        <v>0.37083333333333335</v>
      </c>
      <c r="O58" t="s">
        <v>11</v>
      </c>
      <c r="P58" t="s">
        <v>14</v>
      </c>
      <c r="Q58" t="s">
        <v>13</v>
      </c>
      <c r="T58" s="18">
        <v>0</v>
      </c>
      <c r="W58" s="18">
        <v>0</v>
      </c>
      <c r="Y58">
        <v>0</v>
      </c>
      <c r="Z58">
        <v>0</v>
      </c>
      <c r="AA58">
        <v>1</v>
      </c>
      <c r="AB58" t="s">
        <v>20</v>
      </c>
      <c r="AC58">
        <v>19</v>
      </c>
    </row>
    <row r="59" spans="1:29" x14ac:dyDescent="0.25">
      <c r="A59">
        <v>134479692</v>
      </c>
      <c r="B59">
        <v>2031482284</v>
      </c>
      <c r="C59">
        <v>155</v>
      </c>
      <c r="E59" t="s">
        <v>9</v>
      </c>
      <c r="F59" t="s">
        <v>191</v>
      </c>
      <c r="G59">
        <v>2</v>
      </c>
      <c r="H59">
        <v>6</v>
      </c>
      <c r="I59">
        <v>0</v>
      </c>
      <c r="J59">
        <v>3</v>
      </c>
      <c r="K59" t="s">
        <v>74</v>
      </c>
      <c r="L59" s="18">
        <v>0.41083333333333333</v>
      </c>
      <c r="M59" t="s">
        <v>74</v>
      </c>
      <c r="N59" s="18">
        <v>0.57750000000000001</v>
      </c>
      <c r="O59" t="s">
        <v>11</v>
      </c>
      <c r="P59" t="s">
        <v>14</v>
      </c>
      <c r="Q59" t="s">
        <v>13</v>
      </c>
      <c r="T59" s="18">
        <v>0</v>
      </c>
      <c r="W59" s="18">
        <v>0</v>
      </c>
      <c r="Y59">
        <v>0</v>
      </c>
      <c r="Z59">
        <v>0</v>
      </c>
      <c r="AA59">
        <v>1</v>
      </c>
      <c r="AB59" t="s">
        <v>20</v>
      </c>
      <c r="AC59">
        <v>19</v>
      </c>
    </row>
    <row r="60" spans="1:29" x14ac:dyDescent="0.25">
      <c r="A60">
        <v>134595644</v>
      </c>
      <c r="B60">
        <v>2031513241</v>
      </c>
      <c r="C60">
        <v>40</v>
      </c>
      <c r="E60" t="s">
        <v>9</v>
      </c>
      <c r="F60" t="s">
        <v>199</v>
      </c>
      <c r="G60">
        <v>2</v>
      </c>
      <c r="H60">
        <v>2</v>
      </c>
      <c r="I60">
        <v>0</v>
      </c>
      <c r="J60">
        <v>1</v>
      </c>
      <c r="K60" t="s">
        <v>66</v>
      </c>
      <c r="L60" s="18">
        <v>0.68916666666666671</v>
      </c>
      <c r="M60" t="s">
        <v>66</v>
      </c>
      <c r="N60" s="18">
        <v>0.72250000000000003</v>
      </c>
      <c r="O60" t="s">
        <v>11</v>
      </c>
      <c r="P60" t="s">
        <v>14</v>
      </c>
      <c r="Q60" t="s">
        <v>13</v>
      </c>
      <c r="T60" s="18">
        <v>0</v>
      </c>
      <c r="W60" s="18">
        <v>0</v>
      </c>
      <c r="Y60">
        <v>0</v>
      </c>
      <c r="Z60">
        <v>0</v>
      </c>
      <c r="AB60" t="s">
        <v>20</v>
      </c>
      <c r="AC60">
        <v>19</v>
      </c>
    </row>
    <row r="61" spans="1:29" x14ac:dyDescent="0.25">
      <c r="A61">
        <v>134597197</v>
      </c>
      <c r="B61">
        <v>2031513241</v>
      </c>
      <c r="C61">
        <v>50</v>
      </c>
      <c r="E61" t="s">
        <v>9</v>
      </c>
      <c r="F61" t="s">
        <v>200</v>
      </c>
      <c r="G61">
        <v>2</v>
      </c>
      <c r="H61">
        <v>8</v>
      </c>
      <c r="I61">
        <v>0</v>
      </c>
      <c r="J61">
        <v>4</v>
      </c>
      <c r="K61" t="s">
        <v>77</v>
      </c>
      <c r="L61" s="18">
        <v>0.61083333333333334</v>
      </c>
      <c r="M61" t="s">
        <v>79</v>
      </c>
      <c r="N61" s="18">
        <v>0.36916666666666664</v>
      </c>
      <c r="O61" t="s">
        <v>11</v>
      </c>
      <c r="P61" t="s">
        <v>14</v>
      </c>
      <c r="Q61" t="s">
        <v>13</v>
      </c>
      <c r="T61" s="18">
        <v>0</v>
      </c>
      <c r="W61" s="18">
        <v>0</v>
      </c>
      <c r="Y61">
        <v>0</v>
      </c>
      <c r="Z61">
        <v>0</v>
      </c>
      <c r="AB61" t="s">
        <v>20</v>
      </c>
      <c r="AC61">
        <v>19</v>
      </c>
    </row>
    <row r="62" spans="1:29" x14ac:dyDescent="0.25">
      <c r="A62">
        <v>134614732</v>
      </c>
      <c r="B62">
        <v>2031519455</v>
      </c>
      <c r="C62">
        <v>20</v>
      </c>
      <c r="E62" t="s">
        <v>9</v>
      </c>
      <c r="F62" t="s">
        <v>201</v>
      </c>
      <c r="G62">
        <v>2</v>
      </c>
      <c r="H62">
        <v>6</v>
      </c>
      <c r="I62">
        <v>0</v>
      </c>
      <c r="J62">
        <v>3</v>
      </c>
      <c r="K62" t="s">
        <v>68</v>
      </c>
      <c r="L62" s="18">
        <v>0.16666666666666666</v>
      </c>
      <c r="M62" t="s">
        <v>68</v>
      </c>
      <c r="N62" s="18">
        <v>0.29166666666666669</v>
      </c>
      <c r="O62" t="s">
        <v>11</v>
      </c>
      <c r="P62" t="s">
        <v>14</v>
      </c>
      <c r="Q62" t="s">
        <v>13</v>
      </c>
      <c r="T62" s="18">
        <v>0</v>
      </c>
      <c r="W62" s="18">
        <v>0</v>
      </c>
      <c r="Y62">
        <v>0</v>
      </c>
      <c r="Z62">
        <v>0</v>
      </c>
      <c r="AB62" t="s">
        <v>20</v>
      </c>
      <c r="AC62">
        <v>19</v>
      </c>
    </row>
    <row r="63" spans="1:29" x14ac:dyDescent="0.25">
      <c r="A63">
        <v>134614733</v>
      </c>
      <c r="B63">
        <v>2031519455</v>
      </c>
      <c r="C63">
        <v>30</v>
      </c>
      <c r="E63" t="s">
        <v>9</v>
      </c>
      <c r="F63" t="s">
        <v>202</v>
      </c>
      <c r="G63">
        <v>2</v>
      </c>
      <c r="H63">
        <v>6</v>
      </c>
      <c r="I63">
        <v>0</v>
      </c>
      <c r="J63">
        <v>3</v>
      </c>
      <c r="K63" t="s">
        <v>68</v>
      </c>
      <c r="L63" s="18">
        <v>0.29166666666666669</v>
      </c>
      <c r="M63" t="s">
        <v>68</v>
      </c>
      <c r="N63" s="18">
        <v>0.41666666666666669</v>
      </c>
      <c r="O63" t="s">
        <v>11</v>
      </c>
      <c r="P63" t="s">
        <v>14</v>
      </c>
      <c r="Q63" t="s">
        <v>13</v>
      </c>
      <c r="T63" s="18">
        <v>0</v>
      </c>
      <c r="W63" s="18">
        <v>0</v>
      </c>
      <c r="Y63">
        <v>0</v>
      </c>
      <c r="Z63">
        <v>0</v>
      </c>
      <c r="AB63" t="s">
        <v>20</v>
      </c>
      <c r="AC63">
        <v>19</v>
      </c>
    </row>
    <row r="64" spans="1:29" x14ac:dyDescent="0.25">
      <c r="A64">
        <v>134614734</v>
      </c>
      <c r="B64">
        <v>2031519455</v>
      </c>
      <c r="C64">
        <v>40</v>
      </c>
      <c r="E64" t="s">
        <v>9</v>
      </c>
      <c r="F64" t="s">
        <v>203</v>
      </c>
      <c r="G64">
        <v>2</v>
      </c>
      <c r="H64">
        <v>2</v>
      </c>
      <c r="I64">
        <v>0</v>
      </c>
      <c r="J64">
        <v>1</v>
      </c>
      <c r="K64" t="s">
        <v>68</v>
      </c>
      <c r="L64" s="18">
        <v>0.41666666666666669</v>
      </c>
      <c r="M64" t="s">
        <v>68</v>
      </c>
      <c r="N64" s="18">
        <v>0.45833333333333331</v>
      </c>
      <c r="O64" t="s">
        <v>11</v>
      </c>
      <c r="P64" t="s">
        <v>14</v>
      </c>
      <c r="Q64" t="s">
        <v>13</v>
      </c>
      <c r="T64" s="18">
        <v>0</v>
      </c>
      <c r="W64" s="18">
        <v>0</v>
      </c>
      <c r="Y64">
        <v>0</v>
      </c>
      <c r="Z64">
        <v>0</v>
      </c>
      <c r="AB64" t="s">
        <v>20</v>
      </c>
      <c r="AC64">
        <v>19</v>
      </c>
    </row>
    <row r="65" spans="1:29" x14ac:dyDescent="0.25">
      <c r="A65">
        <v>134614736</v>
      </c>
      <c r="B65">
        <v>2031519455</v>
      </c>
      <c r="C65">
        <v>60</v>
      </c>
      <c r="E65" t="s">
        <v>9</v>
      </c>
      <c r="F65" t="s">
        <v>204</v>
      </c>
      <c r="G65">
        <v>2</v>
      </c>
      <c r="H65">
        <v>2</v>
      </c>
      <c r="I65">
        <v>0</v>
      </c>
      <c r="J65">
        <v>1</v>
      </c>
      <c r="K65" t="s">
        <v>68</v>
      </c>
      <c r="L65" s="18">
        <v>0.58333333333333337</v>
      </c>
      <c r="M65" t="s">
        <v>68</v>
      </c>
      <c r="N65" s="18">
        <v>0.625</v>
      </c>
      <c r="O65" t="s">
        <v>11</v>
      </c>
      <c r="P65" t="s">
        <v>14</v>
      </c>
      <c r="Q65" t="s">
        <v>13</v>
      </c>
      <c r="T65" s="18">
        <v>0</v>
      </c>
      <c r="W65" s="18">
        <v>0</v>
      </c>
      <c r="Y65">
        <v>0</v>
      </c>
      <c r="Z65">
        <v>0</v>
      </c>
      <c r="AB65" t="s">
        <v>20</v>
      </c>
      <c r="AC65">
        <v>19</v>
      </c>
    </row>
    <row r="66" spans="1:29" x14ac:dyDescent="0.25">
      <c r="A66">
        <v>134614737</v>
      </c>
      <c r="B66">
        <v>2031519455</v>
      </c>
      <c r="C66">
        <v>70</v>
      </c>
      <c r="E66" t="s">
        <v>9</v>
      </c>
      <c r="F66" t="s">
        <v>205</v>
      </c>
      <c r="G66">
        <v>2</v>
      </c>
      <c r="H66">
        <v>6</v>
      </c>
      <c r="I66">
        <v>0</v>
      </c>
      <c r="J66">
        <v>3</v>
      </c>
      <c r="K66" t="s">
        <v>68</v>
      </c>
      <c r="L66" s="18">
        <v>0.625</v>
      </c>
      <c r="M66" t="s">
        <v>68</v>
      </c>
      <c r="N66" s="18">
        <v>0.75</v>
      </c>
      <c r="O66" t="s">
        <v>11</v>
      </c>
      <c r="P66" t="s">
        <v>14</v>
      </c>
      <c r="Q66" t="s">
        <v>13</v>
      </c>
      <c r="T66" s="18">
        <v>0</v>
      </c>
      <c r="W66" s="18">
        <v>0</v>
      </c>
      <c r="Y66">
        <v>0</v>
      </c>
      <c r="Z66">
        <v>0</v>
      </c>
      <c r="AB66" t="s">
        <v>20</v>
      </c>
      <c r="AC66">
        <v>19</v>
      </c>
    </row>
    <row r="67" spans="1:29" x14ac:dyDescent="0.25">
      <c r="A67">
        <v>134614738</v>
      </c>
      <c r="B67">
        <v>2031519455</v>
      </c>
      <c r="C67">
        <v>80</v>
      </c>
      <c r="E67" t="s">
        <v>9</v>
      </c>
      <c r="F67" t="s">
        <v>206</v>
      </c>
      <c r="G67">
        <v>2</v>
      </c>
      <c r="H67">
        <v>6</v>
      </c>
      <c r="I67">
        <v>0</v>
      </c>
      <c r="J67">
        <v>3</v>
      </c>
      <c r="K67" t="s">
        <v>68</v>
      </c>
      <c r="L67" s="18">
        <v>0.75</v>
      </c>
      <c r="M67" t="s">
        <v>68</v>
      </c>
      <c r="N67" s="18">
        <v>0.875</v>
      </c>
      <c r="O67" t="s">
        <v>11</v>
      </c>
      <c r="P67" t="s">
        <v>14</v>
      </c>
      <c r="Q67" t="s">
        <v>13</v>
      </c>
      <c r="T67" s="18">
        <v>0</v>
      </c>
      <c r="W67" s="18">
        <v>0</v>
      </c>
      <c r="Y67">
        <v>0</v>
      </c>
      <c r="Z67">
        <v>0</v>
      </c>
      <c r="AB67" t="s">
        <v>20</v>
      </c>
      <c r="AC67">
        <v>19</v>
      </c>
    </row>
    <row r="68" spans="1:29" x14ac:dyDescent="0.25">
      <c r="A68">
        <v>134614741</v>
      </c>
      <c r="B68">
        <v>2031519455</v>
      </c>
      <c r="C68">
        <v>110</v>
      </c>
      <c r="E68" t="s">
        <v>9</v>
      </c>
      <c r="F68" t="s">
        <v>207</v>
      </c>
      <c r="G68">
        <v>1</v>
      </c>
      <c r="H68">
        <v>0.2</v>
      </c>
      <c r="I68">
        <v>0</v>
      </c>
      <c r="J68">
        <v>0.2</v>
      </c>
      <c r="K68" t="s">
        <v>74</v>
      </c>
      <c r="L68" s="18">
        <v>0</v>
      </c>
      <c r="M68" t="s">
        <v>74</v>
      </c>
      <c r="N68" s="18">
        <v>8.3333333333333332E-3</v>
      </c>
      <c r="O68" t="s">
        <v>11</v>
      </c>
      <c r="P68" t="s">
        <v>14</v>
      </c>
      <c r="Q68" t="s">
        <v>13</v>
      </c>
      <c r="T68" s="18">
        <v>0</v>
      </c>
      <c r="W68" s="18">
        <v>0</v>
      </c>
      <c r="Y68">
        <v>0</v>
      </c>
      <c r="Z68">
        <v>0</v>
      </c>
      <c r="AB68" t="s">
        <v>20</v>
      </c>
      <c r="AC68">
        <v>19</v>
      </c>
    </row>
    <row r="69" spans="1:29" x14ac:dyDescent="0.25">
      <c r="L69" s="18"/>
      <c r="N69" s="18"/>
      <c r="T69" s="18"/>
      <c r="W69" s="18"/>
    </row>
    <row r="70" spans="1:29" x14ac:dyDescent="0.25">
      <c r="L70" s="18"/>
      <c r="N70" s="18"/>
      <c r="T70" s="18"/>
      <c r="W70" s="18"/>
    </row>
    <row r="71" spans="1:29" x14ac:dyDescent="0.25">
      <c r="L71" s="18"/>
      <c r="N71" s="18"/>
      <c r="T71" s="18"/>
      <c r="W71" s="18"/>
    </row>
    <row r="72" spans="1:29" x14ac:dyDescent="0.25">
      <c r="L72" s="18"/>
      <c r="N72" s="18"/>
      <c r="T72" s="18"/>
      <c r="W72" s="18"/>
    </row>
    <row r="73" spans="1:29" x14ac:dyDescent="0.25">
      <c r="L73" s="18"/>
      <c r="N73" s="18"/>
      <c r="T73" s="18"/>
      <c r="W73" s="18"/>
    </row>
    <row r="74" spans="1:29" x14ac:dyDescent="0.25">
      <c r="L74" s="18"/>
      <c r="N74" s="18"/>
      <c r="T74" s="18"/>
      <c r="W74" s="18"/>
    </row>
    <row r="75" spans="1:29" x14ac:dyDescent="0.25">
      <c r="L75" s="18"/>
      <c r="N75" s="18"/>
      <c r="T75" s="18"/>
      <c r="W75" s="19"/>
    </row>
    <row r="76" spans="1:29" x14ac:dyDescent="0.25">
      <c r="L76" s="18"/>
      <c r="N76" s="18"/>
      <c r="T76" s="18"/>
      <c r="W76" s="18"/>
    </row>
    <row r="77" spans="1:29" x14ac:dyDescent="0.25">
      <c r="L77" s="18"/>
      <c r="N77" s="18"/>
      <c r="T77" s="18"/>
      <c r="W77" s="18"/>
    </row>
    <row r="78" spans="1:29" x14ac:dyDescent="0.25">
      <c r="L78" s="18"/>
      <c r="N78" s="18"/>
      <c r="T78" s="18"/>
      <c r="W78" s="18"/>
    </row>
    <row r="79" spans="1:29" x14ac:dyDescent="0.25">
      <c r="L79" s="18"/>
      <c r="N79" s="18"/>
      <c r="T79" s="18"/>
      <c r="W79" s="18"/>
    </row>
    <row r="80" spans="1:29" x14ac:dyDescent="0.25">
      <c r="L80" s="18"/>
      <c r="N80" s="18"/>
      <c r="T80" s="18"/>
      <c r="W80" s="18"/>
    </row>
    <row r="81" spans="12:23" x14ac:dyDescent="0.25">
      <c r="L81" s="18"/>
      <c r="N81" s="18"/>
      <c r="T81" s="18"/>
      <c r="W81" s="18"/>
    </row>
    <row r="82" spans="12:23" x14ac:dyDescent="0.25">
      <c r="L82" s="18"/>
      <c r="N82" s="18"/>
      <c r="T82" s="18"/>
      <c r="W82" s="18"/>
    </row>
    <row r="83" spans="12:23" x14ac:dyDescent="0.25">
      <c r="L83" s="18"/>
      <c r="N83" s="18"/>
      <c r="T83" s="18"/>
      <c r="W83" s="18"/>
    </row>
    <row r="84" spans="12:23" x14ac:dyDescent="0.25">
      <c r="L84" s="18"/>
      <c r="N84" s="18"/>
      <c r="T84" s="18"/>
      <c r="W84" s="18"/>
    </row>
    <row r="85" spans="12:23" x14ac:dyDescent="0.25">
      <c r="L85" s="18"/>
      <c r="N85" s="18"/>
      <c r="T85" s="18"/>
      <c r="W85" s="18"/>
    </row>
    <row r="86" spans="12:23" x14ac:dyDescent="0.25">
      <c r="L86" s="18"/>
      <c r="N86" s="18"/>
      <c r="T86" s="18"/>
      <c r="W86" s="18"/>
    </row>
    <row r="87" spans="12:23" x14ac:dyDescent="0.25">
      <c r="L87" s="18"/>
      <c r="N87" s="18"/>
      <c r="T87" s="18"/>
      <c r="W87" s="18"/>
    </row>
    <row r="88" spans="12:23" x14ac:dyDescent="0.25">
      <c r="L88" s="18"/>
      <c r="N88" s="18"/>
      <c r="T88" s="18"/>
      <c r="W88" s="18"/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C153-EA27-4561-91FE-F341116B1294}">
  <sheetPr codeName="Planilha7">
    <tabColor rgb="FF00B0F0"/>
  </sheetPr>
  <dimension ref="A1:AC53"/>
  <sheetViews>
    <sheetView workbookViewId="0">
      <selection activeCell="L12" sqref="L12"/>
    </sheetView>
  </sheetViews>
  <sheetFormatPr defaultRowHeight="15" x14ac:dyDescent="0.25"/>
  <cols>
    <col min="1" max="1" width="8.42578125" bestFit="1" customWidth="1"/>
    <col min="2" max="2" width="7.140625" bestFit="1" customWidth="1"/>
    <col min="3" max="3" width="5.42578125" bestFit="1" customWidth="1"/>
    <col min="4" max="4" width="6.7109375" bestFit="1" customWidth="1"/>
    <col min="5" max="5" width="11.140625" bestFit="1" customWidth="1"/>
    <col min="6" max="6" width="18.85546875" bestFit="1" customWidth="1"/>
    <col min="7" max="7" width="11.140625" bestFit="1" customWidth="1"/>
    <col min="8" max="8" width="8.7109375" bestFit="1" customWidth="1"/>
    <col min="9" max="9" width="7.85546875" bestFit="1" customWidth="1"/>
    <col min="10" max="10" width="8.42578125" bestFit="1" customWidth="1"/>
    <col min="11" max="11" width="10.140625" bestFit="1" customWidth="1"/>
    <col min="12" max="12" width="8.140625" bestFit="1" customWidth="1"/>
    <col min="13" max="13" width="10.140625" bestFit="1" customWidth="1"/>
    <col min="14" max="14" width="8.140625" bestFit="1" customWidth="1"/>
    <col min="15" max="15" width="21.140625" bestFit="1" customWidth="1"/>
    <col min="16" max="16" width="17.42578125" bestFit="1" customWidth="1"/>
    <col min="17" max="17" width="5.5703125" bestFit="1" customWidth="1"/>
    <col min="20" max="20" width="8.140625" bestFit="1" customWidth="1"/>
    <col min="23" max="23" width="8.140625" bestFit="1" customWidth="1"/>
    <col min="24" max="24" width="2.140625" bestFit="1" customWidth="1"/>
    <col min="25" max="27" width="2" bestFit="1" customWidth="1"/>
    <col min="28" max="28" width="14" bestFit="1" customWidth="1"/>
    <col min="29" max="29" width="3" bestFit="1" customWidth="1"/>
  </cols>
  <sheetData>
    <row r="1" spans="1:29" ht="15.75" thickBot="1" x14ac:dyDescent="0.3">
      <c r="H1">
        <f>SUM(H3:H1048576)</f>
        <v>942</v>
      </c>
    </row>
    <row r="2" spans="1:29" s="30" customFormat="1" ht="15.75" thickBot="1" x14ac:dyDescent="0.3">
      <c r="A2" s="27" t="s">
        <v>29</v>
      </c>
      <c r="B2" s="28" t="s">
        <v>28</v>
      </c>
      <c r="C2" s="28" t="s">
        <v>27</v>
      </c>
      <c r="D2" s="28" t="s">
        <v>30</v>
      </c>
      <c r="E2" s="28" t="s">
        <v>31</v>
      </c>
      <c r="F2" s="28" t="s">
        <v>32</v>
      </c>
      <c r="G2" s="28" t="s">
        <v>33</v>
      </c>
      <c r="H2" s="28" t="s">
        <v>34</v>
      </c>
      <c r="I2" s="28" t="s">
        <v>35</v>
      </c>
      <c r="J2" s="29" t="s">
        <v>36</v>
      </c>
      <c r="K2" s="31"/>
    </row>
    <row r="3" spans="1:29" x14ac:dyDescent="0.25">
      <c r="A3">
        <v>112410188</v>
      </c>
      <c r="B3">
        <v>2026756739</v>
      </c>
      <c r="C3">
        <v>6</v>
      </c>
      <c r="E3" t="s">
        <v>10</v>
      </c>
      <c r="F3" t="s">
        <v>213</v>
      </c>
      <c r="G3">
        <v>4</v>
      </c>
      <c r="H3">
        <v>16</v>
      </c>
      <c r="I3">
        <v>0</v>
      </c>
      <c r="J3">
        <v>4</v>
      </c>
      <c r="K3" t="s">
        <v>68</v>
      </c>
      <c r="L3" s="18">
        <v>0.3125</v>
      </c>
      <c r="M3" t="s">
        <v>68</v>
      </c>
      <c r="N3" s="18">
        <v>0.44583333333333336</v>
      </c>
      <c r="O3" t="s">
        <v>11</v>
      </c>
      <c r="P3" t="s">
        <v>14</v>
      </c>
      <c r="Q3" t="s">
        <v>13</v>
      </c>
      <c r="T3" s="18">
        <v>0</v>
      </c>
      <c r="W3" s="18">
        <v>0</v>
      </c>
      <c r="Y3">
        <v>0</v>
      </c>
      <c r="Z3">
        <v>0</v>
      </c>
      <c r="AA3">
        <v>2</v>
      </c>
      <c r="AC3">
        <v>19</v>
      </c>
    </row>
    <row r="4" spans="1:29" x14ac:dyDescent="0.25">
      <c r="A4">
        <v>107181770</v>
      </c>
      <c r="B4">
        <v>2026756739</v>
      </c>
      <c r="C4">
        <v>50</v>
      </c>
      <c r="E4" t="s">
        <v>10</v>
      </c>
      <c r="F4" t="s">
        <v>214</v>
      </c>
      <c r="G4">
        <v>4</v>
      </c>
      <c r="H4">
        <v>4</v>
      </c>
      <c r="I4">
        <v>0</v>
      </c>
      <c r="J4">
        <v>1</v>
      </c>
      <c r="K4" t="s">
        <v>77</v>
      </c>
      <c r="L4" s="18">
        <v>0.42083333333333334</v>
      </c>
      <c r="M4" t="s">
        <v>77</v>
      </c>
      <c r="N4" s="18">
        <v>0.45416666666666666</v>
      </c>
      <c r="O4" t="s">
        <v>11</v>
      </c>
      <c r="P4" t="s">
        <v>14</v>
      </c>
      <c r="Q4" t="s">
        <v>13</v>
      </c>
      <c r="T4" s="18">
        <v>0</v>
      </c>
      <c r="W4" s="18">
        <v>0</v>
      </c>
      <c r="Y4">
        <v>0</v>
      </c>
      <c r="Z4">
        <v>0</v>
      </c>
      <c r="AA4">
        <v>2</v>
      </c>
      <c r="AC4">
        <v>19</v>
      </c>
    </row>
    <row r="5" spans="1:29" x14ac:dyDescent="0.25">
      <c r="A5">
        <v>112410189</v>
      </c>
      <c r="B5">
        <v>2026756739</v>
      </c>
      <c r="C5">
        <v>60</v>
      </c>
      <c r="E5" t="s">
        <v>10</v>
      </c>
      <c r="F5" t="s">
        <v>215</v>
      </c>
      <c r="G5">
        <v>4</v>
      </c>
      <c r="H5">
        <v>8</v>
      </c>
      <c r="I5">
        <v>0</v>
      </c>
      <c r="J5">
        <v>2</v>
      </c>
      <c r="K5" t="s">
        <v>77</v>
      </c>
      <c r="L5" s="18">
        <v>0.45416666666666666</v>
      </c>
      <c r="M5" t="s">
        <v>77</v>
      </c>
      <c r="N5" s="18">
        <v>0.5625</v>
      </c>
      <c r="O5" t="s">
        <v>11</v>
      </c>
      <c r="P5" t="s">
        <v>14</v>
      </c>
      <c r="Q5" t="s">
        <v>13</v>
      </c>
      <c r="T5" s="18">
        <v>0</v>
      </c>
      <c r="W5" s="18">
        <v>0</v>
      </c>
      <c r="Y5">
        <v>0</v>
      </c>
      <c r="Z5">
        <v>0</v>
      </c>
      <c r="AA5">
        <v>2</v>
      </c>
      <c r="AC5">
        <v>19</v>
      </c>
    </row>
    <row r="6" spans="1:29" x14ac:dyDescent="0.25">
      <c r="A6">
        <v>114052334</v>
      </c>
      <c r="B6">
        <v>2028265715</v>
      </c>
      <c r="C6">
        <v>120</v>
      </c>
      <c r="E6" t="s">
        <v>10</v>
      </c>
      <c r="F6" t="s">
        <v>219</v>
      </c>
      <c r="G6">
        <v>8</v>
      </c>
      <c r="H6">
        <v>48</v>
      </c>
      <c r="I6">
        <v>13.1</v>
      </c>
      <c r="J6">
        <v>6</v>
      </c>
      <c r="K6" t="s">
        <v>68</v>
      </c>
      <c r="L6" s="18">
        <v>0.58750000000000002</v>
      </c>
      <c r="M6" t="s">
        <v>68</v>
      </c>
      <c r="N6" s="18">
        <v>0.72045138888888893</v>
      </c>
      <c r="O6" t="s">
        <v>40</v>
      </c>
      <c r="P6" t="s">
        <v>220</v>
      </c>
      <c r="Q6" t="s">
        <v>13</v>
      </c>
      <c r="T6" s="18">
        <v>0</v>
      </c>
      <c r="W6" s="18">
        <v>0</v>
      </c>
      <c r="Y6">
        <v>0</v>
      </c>
      <c r="Z6">
        <v>0</v>
      </c>
      <c r="AB6" t="s">
        <v>20</v>
      </c>
      <c r="AC6">
        <v>19</v>
      </c>
    </row>
    <row r="7" spans="1:29" x14ac:dyDescent="0.25">
      <c r="A7">
        <v>134596247</v>
      </c>
      <c r="B7">
        <v>2028265715</v>
      </c>
      <c r="C7">
        <v>141</v>
      </c>
      <c r="E7" t="s">
        <v>10</v>
      </c>
      <c r="F7" t="s">
        <v>221</v>
      </c>
      <c r="G7">
        <v>4</v>
      </c>
      <c r="H7">
        <v>24</v>
      </c>
      <c r="I7">
        <v>0</v>
      </c>
      <c r="J7">
        <v>6</v>
      </c>
      <c r="K7" t="s">
        <v>74</v>
      </c>
      <c r="L7" s="18">
        <v>0.38711805555555556</v>
      </c>
      <c r="M7" t="s">
        <v>74</v>
      </c>
      <c r="N7" s="18">
        <v>0.67878472222222219</v>
      </c>
      <c r="O7" t="s">
        <v>11</v>
      </c>
      <c r="P7" t="s">
        <v>14</v>
      </c>
      <c r="Q7" t="s">
        <v>13</v>
      </c>
      <c r="T7" s="18">
        <v>0</v>
      </c>
      <c r="W7" s="19">
        <v>0</v>
      </c>
      <c r="Y7">
        <v>0</v>
      </c>
      <c r="Z7">
        <v>0</v>
      </c>
      <c r="AB7" t="s">
        <v>20</v>
      </c>
      <c r="AC7">
        <v>19</v>
      </c>
    </row>
    <row r="8" spans="1:29" x14ac:dyDescent="0.25">
      <c r="A8">
        <v>119630572</v>
      </c>
      <c r="B8">
        <v>2029164150</v>
      </c>
      <c r="C8">
        <v>110</v>
      </c>
      <c r="E8" t="s">
        <v>10</v>
      </c>
      <c r="F8" t="s">
        <v>225</v>
      </c>
      <c r="G8">
        <v>4</v>
      </c>
      <c r="H8">
        <v>20</v>
      </c>
      <c r="I8">
        <v>0</v>
      </c>
      <c r="J8">
        <v>5</v>
      </c>
      <c r="K8" t="s">
        <v>68</v>
      </c>
      <c r="L8" s="18">
        <v>0.3125</v>
      </c>
      <c r="M8" t="s">
        <v>68</v>
      </c>
      <c r="N8" s="18">
        <v>0.47916666666666669</v>
      </c>
      <c r="O8" t="s">
        <v>40</v>
      </c>
      <c r="P8" t="s">
        <v>12</v>
      </c>
      <c r="Q8" t="s">
        <v>13</v>
      </c>
      <c r="T8" s="18">
        <v>0</v>
      </c>
      <c r="W8" s="19">
        <v>0</v>
      </c>
      <c r="Y8">
        <v>0</v>
      </c>
      <c r="Z8">
        <v>0</v>
      </c>
      <c r="AA8">
        <v>1</v>
      </c>
      <c r="AC8">
        <v>19</v>
      </c>
    </row>
    <row r="9" spans="1:29" x14ac:dyDescent="0.25">
      <c r="A9">
        <v>119630574</v>
      </c>
      <c r="B9">
        <v>2029164150</v>
      </c>
      <c r="C9">
        <v>130</v>
      </c>
      <c r="E9" t="s">
        <v>10</v>
      </c>
      <c r="F9" t="s">
        <v>226</v>
      </c>
      <c r="G9">
        <v>4</v>
      </c>
      <c r="H9">
        <v>12</v>
      </c>
      <c r="I9">
        <v>0</v>
      </c>
      <c r="J9">
        <v>3</v>
      </c>
      <c r="K9" t="s">
        <v>74</v>
      </c>
      <c r="L9" s="18">
        <v>0.45416666666666666</v>
      </c>
      <c r="M9" t="s">
        <v>74</v>
      </c>
      <c r="N9" s="18">
        <v>0.59583333333333333</v>
      </c>
      <c r="O9" t="s">
        <v>40</v>
      </c>
      <c r="P9" t="s">
        <v>12</v>
      </c>
      <c r="Q9" t="s">
        <v>13</v>
      </c>
      <c r="T9" s="18">
        <v>0</v>
      </c>
      <c r="W9" s="18">
        <v>0</v>
      </c>
      <c r="Y9">
        <v>0</v>
      </c>
      <c r="Z9">
        <v>0</v>
      </c>
      <c r="AA9">
        <v>1</v>
      </c>
      <c r="AC9">
        <v>19</v>
      </c>
    </row>
    <row r="10" spans="1:29" x14ac:dyDescent="0.25">
      <c r="A10">
        <v>125733769</v>
      </c>
      <c r="B10">
        <v>2029286067</v>
      </c>
      <c r="C10">
        <v>50</v>
      </c>
      <c r="E10" t="s">
        <v>10</v>
      </c>
      <c r="F10" t="s">
        <v>227</v>
      </c>
      <c r="G10">
        <v>4</v>
      </c>
      <c r="H10">
        <v>16</v>
      </c>
      <c r="I10">
        <v>0</v>
      </c>
      <c r="J10">
        <v>4</v>
      </c>
      <c r="K10" t="s">
        <v>68</v>
      </c>
      <c r="L10" s="18">
        <v>0.3125</v>
      </c>
      <c r="M10" t="s">
        <v>68</v>
      </c>
      <c r="N10" s="18">
        <v>0.47916666666666669</v>
      </c>
      <c r="O10" t="s">
        <v>40</v>
      </c>
      <c r="P10" t="s">
        <v>14</v>
      </c>
      <c r="Q10" t="s">
        <v>13</v>
      </c>
      <c r="T10" s="18">
        <v>0</v>
      </c>
      <c r="W10" s="18">
        <v>0</v>
      </c>
      <c r="Y10">
        <v>0</v>
      </c>
      <c r="Z10">
        <v>0</v>
      </c>
      <c r="AA10">
        <v>2</v>
      </c>
      <c r="AB10" t="s">
        <v>20</v>
      </c>
      <c r="AC10">
        <v>19</v>
      </c>
    </row>
    <row r="11" spans="1:29" x14ac:dyDescent="0.25">
      <c r="A11">
        <v>129596780</v>
      </c>
      <c r="B11">
        <v>2029484416</v>
      </c>
      <c r="C11">
        <v>200</v>
      </c>
      <c r="E11" t="s">
        <v>10</v>
      </c>
      <c r="F11" t="s">
        <v>61</v>
      </c>
      <c r="G11">
        <v>4</v>
      </c>
      <c r="H11">
        <v>8</v>
      </c>
      <c r="I11">
        <v>0</v>
      </c>
      <c r="J11">
        <v>2</v>
      </c>
      <c r="K11" t="s">
        <v>68</v>
      </c>
      <c r="L11" s="18">
        <v>0</v>
      </c>
      <c r="M11" t="s">
        <v>68</v>
      </c>
      <c r="N11" s="18">
        <v>8.3333333333333329E-2</v>
      </c>
      <c r="O11" t="s">
        <v>19</v>
      </c>
      <c r="P11" t="s">
        <v>14</v>
      </c>
      <c r="Q11" t="s">
        <v>13</v>
      </c>
      <c r="T11" s="18">
        <v>0</v>
      </c>
      <c r="W11" s="18">
        <v>0</v>
      </c>
      <c r="Y11">
        <v>0</v>
      </c>
      <c r="Z11">
        <v>0</v>
      </c>
      <c r="AA11">
        <v>2</v>
      </c>
      <c r="AB11" t="s">
        <v>20</v>
      </c>
      <c r="AC11">
        <v>19</v>
      </c>
    </row>
    <row r="12" spans="1:29" x14ac:dyDescent="0.25">
      <c r="A12">
        <v>129596781</v>
      </c>
      <c r="B12">
        <v>2029484416</v>
      </c>
      <c r="C12">
        <v>210</v>
      </c>
      <c r="E12" t="s">
        <v>10</v>
      </c>
      <c r="F12" t="s">
        <v>62</v>
      </c>
      <c r="G12">
        <v>4</v>
      </c>
      <c r="H12">
        <v>16</v>
      </c>
      <c r="I12">
        <v>0</v>
      </c>
      <c r="J12">
        <v>4</v>
      </c>
      <c r="K12" t="s">
        <v>68</v>
      </c>
      <c r="L12" s="18">
        <v>0</v>
      </c>
      <c r="M12" t="s">
        <v>68</v>
      </c>
      <c r="N12" s="18">
        <v>0.16666666666666666</v>
      </c>
      <c r="O12" t="s">
        <v>19</v>
      </c>
      <c r="P12" t="s">
        <v>14</v>
      </c>
      <c r="Q12" t="s">
        <v>13</v>
      </c>
      <c r="T12" s="18">
        <v>0</v>
      </c>
      <c r="W12" s="18">
        <v>0</v>
      </c>
      <c r="Y12">
        <v>0</v>
      </c>
      <c r="Z12">
        <v>0</v>
      </c>
      <c r="AA12">
        <v>2</v>
      </c>
      <c r="AB12" t="s">
        <v>20</v>
      </c>
      <c r="AC12">
        <v>19</v>
      </c>
    </row>
    <row r="13" spans="1:29" x14ac:dyDescent="0.25">
      <c r="A13">
        <v>121735286</v>
      </c>
      <c r="B13">
        <v>2029508737</v>
      </c>
      <c r="C13">
        <v>120</v>
      </c>
      <c r="E13" t="s">
        <v>10</v>
      </c>
      <c r="F13" t="s">
        <v>229</v>
      </c>
      <c r="G13">
        <v>4</v>
      </c>
      <c r="H13">
        <v>8</v>
      </c>
      <c r="I13">
        <v>0</v>
      </c>
      <c r="J13">
        <v>2</v>
      </c>
      <c r="K13" t="s">
        <v>68</v>
      </c>
      <c r="L13" s="18">
        <v>0.47916666666666669</v>
      </c>
      <c r="M13" t="s">
        <v>68</v>
      </c>
      <c r="N13" s="18">
        <v>0.58750000000000002</v>
      </c>
      <c r="O13" t="s">
        <v>40</v>
      </c>
      <c r="P13" t="s">
        <v>14</v>
      </c>
      <c r="Q13" t="s">
        <v>13</v>
      </c>
      <c r="T13" s="18">
        <v>0</v>
      </c>
      <c r="W13" s="18">
        <v>0</v>
      </c>
      <c r="Y13">
        <v>0</v>
      </c>
      <c r="Z13">
        <v>0</v>
      </c>
      <c r="AA13">
        <v>2</v>
      </c>
      <c r="AB13" t="s">
        <v>20</v>
      </c>
      <c r="AC13">
        <v>19</v>
      </c>
    </row>
    <row r="14" spans="1:29" x14ac:dyDescent="0.25">
      <c r="A14">
        <v>130294144</v>
      </c>
      <c r="B14">
        <v>2029732592</v>
      </c>
      <c r="C14">
        <v>217</v>
      </c>
      <c r="E14" t="s">
        <v>10</v>
      </c>
      <c r="F14" t="s">
        <v>231</v>
      </c>
      <c r="G14">
        <v>8</v>
      </c>
      <c r="H14">
        <v>32</v>
      </c>
      <c r="I14">
        <v>0</v>
      </c>
      <c r="J14">
        <v>4</v>
      </c>
      <c r="K14" t="s">
        <v>68</v>
      </c>
      <c r="L14" s="18">
        <v>0.72083333333333333</v>
      </c>
      <c r="M14" t="s">
        <v>74</v>
      </c>
      <c r="N14" s="18">
        <v>0.4375</v>
      </c>
      <c r="O14" t="s">
        <v>11</v>
      </c>
      <c r="P14" t="s">
        <v>12</v>
      </c>
      <c r="Q14" t="s">
        <v>13</v>
      </c>
      <c r="T14" s="18">
        <v>0</v>
      </c>
      <c r="W14" s="18">
        <v>0</v>
      </c>
      <c r="Y14">
        <v>0</v>
      </c>
      <c r="Z14">
        <v>0</v>
      </c>
      <c r="AA14">
        <v>1</v>
      </c>
      <c r="AB14" t="s">
        <v>20</v>
      </c>
      <c r="AC14">
        <v>19</v>
      </c>
    </row>
    <row r="15" spans="1:29" x14ac:dyDescent="0.25">
      <c r="A15">
        <v>130294145</v>
      </c>
      <c r="B15">
        <v>2029732592</v>
      </c>
      <c r="C15">
        <v>218</v>
      </c>
      <c r="E15" t="s">
        <v>10</v>
      </c>
      <c r="F15" t="s">
        <v>232</v>
      </c>
      <c r="G15">
        <v>8</v>
      </c>
      <c r="H15">
        <v>64</v>
      </c>
      <c r="I15">
        <v>0</v>
      </c>
      <c r="J15">
        <v>8</v>
      </c>
      <c r="K15" t="s">
        <v>74</v>
      </c>
      <c r="L15" s="18">
        <v>0.4375</v>
      </c>
      <c r="M15" t="s">
        <v>65</v>
      </c>
      <c r="N15" s="18">
        <v>0.32916666666666666</v>
      </c>
      <c r="O15" t="s">
        <v>11</v>
      </c>
      <c r="P15" t="s">
        <v>12</v>
      </c>
      <c r="Q15" t="s">
        <v>13</v>
      </c>
      <c r="T15" s="18">
        <v>0</v>
      </c>
      <c r="W15" s="18">
        <v>0</v>
      </c>
      <c r="Y15">
        <v>0</v>
      </c>
      <c r="Z15">
        <v>0</v>
      </c>
      <c r="AA15">
        <v>1</v>
      </c>
      <c r="AB15" t="s">
        <v>20</v>
      </c>
      <c r="AC15">
        <v>19</v>
      </c>
    </row>
    <row r="16" spans="1:29" x14ac:dyDescent="0.25">
      <c r="A16">
        <v>130294147</v>
      </c>
      <c r="B16">
        <v>2029732592</v>
      </c>
      <c r="C16">
        <v>220</v>
      </c>
      <c r="E16" t="s">
        <v>10</v>
      </c>
      <c r="F16" t="s">
        <v>233</v>
      </c>
      <c r="G16">
        <v>8</v>
      </c>
      <c r="H16">
        <v>32</v>
      </c>
      <c r="I16">
        <v>0</v>
      </c>
      <c r="J16">
        <v>4</v>
      </c>
      <c r="K16" t="s">
        <v>65</v>
      </c>
      <c r="L16" s="18">
        <v>0.34583333333333333</v>
      </c>
      <c r="M16" t="s">
        <v>65</v>
      </c>
      <c r="N16" s="18">
        <v>0.47916666666666669</v>
      </c>
      <c r="O16" t="s">
        <v>11</v>
      </c>
      <c r="P16" t="s">
        <v>12</v>
      </c>
      <c r="Q16" t="s">
        <v>13</v>
      </c>
      <c r="T16" s="18">
        <v>0</v>
      </c>
      <c r="W16" s="18">
        <v>0</v>
      </c>
      <c r="Y16">
        <v>0</v>
      </c>
      <c r="Z16">
        <v>0</v>
      </c>
      <c r="AA16">
        <v>1</v>
      </c>
      <c r="AB16" t="s">
        <v>20</v>
      </c>
      <c r="AC16">
        <v>19</v>
      </c>
    </row>
    <row r="17" spans="1:29" x14ac:dyDescent="0.25">
      <c r="A17">
        <v>130294148</v>
      </c>
      <c r="B17">
        <v>2029732592</v>
      </c>
      <c r="C17">
        <v>221</v>
      </c>
      <c r="E17" t="s">
        <v>10</v>
      </c>
      <c r="F17" t="s">
        <v>234</v>
      </c>
      <c r="G17">
        <v>8</v>
      </c>
      <c r="H17">
        <v>64</v>
      </c>
      <c r="I17">
        <v>0</v>
      </c>
      <c r="J17">
        <v>8</v>
      </c>
      <c r="K17" t="s">
        <v>65</v>
      </c>
      <c r="L17" s="18">
        <v>0.47916666666666669</v>
      </c>
      <c r="M17" t="s">
        <v>66</v>
      </c>
      <c r="N17" s="18">
        <v>0.37083333333333335</v>
      </c>
      <c r="O17" t="s">
        <v>11</v>
      </c>
      <c r="P17" t="s">
        <v>12</v>
      </c>
      <c r="Q17" t="s">
        <v>13</v>
      </c>
      <c r="T17" s="18">
        <v>0</v>
      </c>
      <c r="W17" s="18">
        <v>0</v>
      </c>
      <c r="Y17">
        <v>0</v>
      </c>
      <c r="Z17">
        <v>0</v>
      </c>
      <c r="AA17">
        <v>1</v>
      </c>
      <c r="AB17" t="s">
        <v>20</v>
      </c>
      <c r="AC17">
        <v>19</v>
      </c>
    </row>
    <row r="18" spans="1:29" x14ac:dyDescent="0.25">
      <c r="A18">
        <v>130294150</v>
      </c>
      <c r="B18">
        <v>2029732592</v>
      </c>
      <c r="C18">
        <v>223</v>
      </c>
      <c r="E18" t="s">
        <v>10</v>
      </c>
      <c r="F18" t="s">
        <v>235</v>
      </c>
      <c r="G18">
        <v>8</v>
      </c>
      <c r="H18">
        <v>32</v>
      </c>
      <c r="I18">
        <v>0</v>
      </c>
      <c r="J18">
        <v>4</v>
      </c>
      <c r="K18" t="s">
        <v>66</v>
      </c>
      <c r="L18" s="18">
        <v>0.38750000000000001</v>
      </c>
      <c r="M18" t="s">
        <v>66</v>
      </c>
      <c r="N18" s="18">
        <v>0.5625</v>
      </c>
      <c r="O18" t="s">
        <v>11</v>
      </c>
      <c r="P18" t="s">
        <v>12</v>
      </c>
      <c r="Q18" t="s">
        <v>13</v>
      </c>
      <c r="T18" s="18">
        <v>0</v>
      </c>
      <c r="W18" s="18">
        <v>0</v>
      </c>
      <c r="Y18">
        <v>0</v>
      </c>
      <c r="Z18">
        <v>0</v>
      </c>
      <c r="AA18">
        <v>1</v>
      </c>
      <c r="AB18" t="s">
        <v>20</v>
      </c>
      <c r="AC18">
        <v>19</v>
      </c>
    </row>
    <row r="19" spans="1:29" x14ac:dyDescent="0.25">
      <c r="A19">
        <v>130294151</v>
      </c>
      <c r="B19">
        <v>2029732592</v>
      </c>
      <c r="C19">
        <v>224</v>
      </c>
      <c r="E19" t="s">
        <v>10</v>
      </c>
      <c r="F19" t="s">
        <v>236</v>
      </c>
      <c r="G19">
        <v>8</v>
      </c>
      <c r="H19">
        <v>64</v>
      </c>
      <c r="I19">
        <v>0</v>
      </c>
      <c r="J19">
        <v>8</v>
      </c>
      <c r="K19" t="s">
        <v>66</v>
      </c>
      <c r="L19" s="18">
        <v>0.5625</v>
      </c>
      <c r="M19" t="s">
        <v>77</v>
      </c>
      <c r="N19" s="18">
        <v>0.41249999999999998</v>
      </c>
      <c r="O19" t="s">
        <v>11</v>
      </c>
      <c r="P19" t="s">
        <v>12</v>
      </c>
      <c r="Q19" t="s">
        <v>13</v>
      </c>
      <c r="T19" s="18">
        <v>0</v>
      </c>
      <c r="W19" s="18">
        <v>0</v>
      </c>
      <c r="Y19">
        <v>0</v>
      </c>
      <c r="Z19">
        <v>0</v>
      </c>
      <c r="AA19">
        <v>1</v>
      </c>
      <c r="AB19" t="s">
        <v>20</v>
      </c>
      <c r="AC19">
        <v>19</v>
      </c>
    </row>
    <row r="20" spans="1:29" x14ac:dyDescent="0.25">
      <c r="A20">
        <v>130294153</v>
      </c>
      <c r="B20">
        <v>2029732592</v>
      </c>
      <c r="C20">
        <v>226</v>
      </c>
      <c r="E20" t="s">
        <v>10</v>
      </c>
      <c r="F20" t="s">
        <v>237</v>
      </c>
      <c r="G20">
        <v>8</v>
      </c>
      <c r="H20">
        <v>32</v>
      </c>
      <c r="I20">
        <v>0</v>
      </c>
      <c r="J20">
        <v>4</v>
      </c>
      <c r="K20" t="s">
        <v>77</v>
      </c>
      <c r="L20" s="18">
        <v>0.42916666666666664</v>
      </c>
      <c r="M20" t="s">
        <v>77</v>
      </c>
      <c r="N20" s="18">
        <v>0.60416666666666663</v>
      </c>
      <c r="O20" t="s">
        <v>11</v>
      </c>
      <c r="P20" t="s">
        <v>12</v>
      </c>
      <c r="Q20" t="s">
        <v>13</v>
      </c>
      <c r="T20" s="18">
        <v>0</v>
      </c>
      <c r="W20" s="18">
        <v>0</v>
      </c>
      <c r="Y20">
        <v>0</v>
      </c>
      <c r="Z20">
        <v>0</v>
      </c>
      <c r="AA20">
        <v>1</v>
      </c>
      <c r="AB20" t="s">
        <v>20</v>
      </c>
      <c r="AC20">
        <v>19</v>
      </c>
    </row>
    <row r="21" spans="1:29" x14ac:dyDescent="0.25">
      <c r="A21">
        <v>130294154</v>
      </c>
      <c r="B21">
        <v>2029732592</v>
      </c>
      <c r="C21">
        <v>227</v>
      </c>
      <c r="E21" t="s">
        <v>10</v>
      </c>
      <c r="F21" t="s">
        <v>238</v>
      </c>
      <c r="G21">
        <v>8</v>
      </c>
      <c r="H21">
        <v>64</v>
      </c>
      <c r="I21">
        <v>0</v>
      </c>
      <c r="J21">
        <v>8</v>
      </c>
      <c r="K21" t="s">
        <v>77</v>
      </c>
      <c r="L21" s="18">
        <v>0.60416666666666663</v>
      </c>
      <c r="M21" t="s">
        <v>79</v>
      </c>
      <c r="N21" s="18">
        <v>0.49583333333333335</v>
      </c>
      <c r="O21" t="s">
        <v>11</v>
      </c>
      <c r="P21" t="s">
        <v>12</v>
      </c>
      <c r="Q21" t="s">
        <v>13</v>
      </c>
      <c r="T21" s="18">
        <v>0</v>
      </c>
      <c r="W21" s="18">
        <v>0</v>
      </c>
      <c r="Y21">
        <v>0</v>
      </c>
      <c r="Z21">
        <v>0</v>
      </c>
      <c r="AA21">
        <v>1</v>
      </c>
      <c r="AB21" t="s">
        <v>20</v>
      </c>
      <c r="AC21">
        <v>19</v>
      </c>
    </row>
    <row r="22" spans="1:29" x14ac:dyDescent="0.25">
      <c r="A22">
        <v>125755039</v>
      </c>
      <c r="B22">
        <v>2029900061</v>
      </c>
      <c r="C22">
        <v>1040</v>
      </c>
      <c r="E22" t="s">
        <v>10</v>
      </c>
      <c r="F22" t="s">
        <v>239</v>
      </c>
      <c r="G22">
        <v>4</v>
      </c>
      <c r="H22">
        <v>16</v>
      </c>
      <c r="I22">
        <v>0</v>
      </c>
      <c r="J22">
        <v>4</v>
      </c>
      <c r="K22" t="s">
        <v>68</v>
      </c>
      <c r="L22" s="18">
        <v>0</v>
      </c>
      <c r="M22" t="s">
        <v>68</v>
      </c>
      <c r="N22" s="18">
        <v>0.16666666666666666</v>
      </c>
      <c r="O22" t="s">
        <v>40</v>
      </c>
      <c r="P22" t="s">
        <v>12</v>
      </c>
      <c r="Q22" t="s">
        <v>13</v>
      </c>
      <c r="T22" s="18">
        <v>0</v>
      </c>
      <c r="W22" s="18">
        <v>0</v>
      </c>
      <c r="Y22">
        <v>0</v>
      </c>
      <c r="Z22">
        <v>0</v>
      </c>
      <c r="AC22">
        <v>19</v>
      </c>
    </row>
    <row r="23" spans="1:29" x14ac:dyDescent="0.25">
      <c r="A23">
        <v>125099353</v>
      </c>
      <c r="B23">
        <v>2030079558</v>
      </c>
      <c r="C23">
        <v>10</v>
      </c>
      <c r="E23" t="s">
        <v>10</v>
      </c>
      <c r="F23" t="s">
        <v>240</v>
      </c>
      <c r="G23">
        <v>4</v>
      </c>
      <c r="H23">
        <v>16</v>
      </c>
      <c r="I23">
        <v>0</v>
      </c>
      <c r="J23">
        <v>4</v>
      </c>
      <c r="K23" t="s">
        <v>77</v>
      </c>
      <c r="L23" s="18">
        <v>0.3125</v>
      </c>
      <c r="M23" t="s">
        <v>77</v>
      </c>
      <c r="N23" s="18">
        <v>0.44583333333333336</v>
      </c>
      <c r="O23" t="s">
        <v>40</v>
      </c>
      <c r="P23" t="s">
        <v>14</v>
      </c>
      <c r="Q23" t="s">
        <v>13</v>
      </c>
      <c r="T23" s="18">
        <v>0</v>
      </c>
      <c r="W23" s="18">
        <v>1</v>
      </c>
      <c r="X23" t="s">
        <v>24</v>
      </c>
      <c r="Y23">
        <v>0</v>
      </c>
      <c r="Z23">
        <v>0</v>
      </c>
      <c r="AC23">
        <v>19</v>
      </c>
    </row>
    <row r="24" spans="1:29" x14ac:dyDescent="0.25">
      <c r="A24">
        <v>125099356</v>
      </c>
      <c r="B24">
        <v>2030079558</v>
      </c>
      <c r="C24">
        <v>30</v>
      </c>
      <c r="E24" t="s">
        <v>10</v>
      </c>
      <c r="F24" t="s">
        <v>241</v>
      </c>
      <c r="G24">
        <v>4</v>
      </c>
      <c r="H24">
        <v>12</v>
      </c>
      <c r="I24">
        <v>0</v>
      </c>
      <c r="J24">
        <v>3</v>
      </c>
      <c r="K24" t="s">
        <v>77</v>
      </c>
      <c r="L24" s="18">
        <v>0.63749999999999996</v>
      </c>
      <c r="M24" t="s">
        <v>79</v>
      </c>
      <c r="N24" s="18">
        <v>0.36249999999999999</v>
      </c>
      <c r="O24" t="s">
        <v>40</v>
      </c>
      <c r="P24" t="s">
        <v>14</v>
      </c>
      <c r="Q24" t="s">
        <v>13</v>
      </c>
      <c r="T24" s="18">
        <v>0</v>
      </c>
      <c r="W24" s="18">
        <v>1</v>
      </c>
      <c r="Y24">
        <v>0</v>
      </c>
      <c r="Z24">
        <v>0</v>
      </c>
      <c r="AC24">
        <v>19</v>
      </c>
    </row>
    <row r="25" spans="1:29" x14ac:dyDescent="0.25">
      <c r="A25">
        <v>126099599</v>
      </c>
      <c r="B25">
        <v>2030210738</v>
      </c>
      <c r="C25">
        <v>10</v>
      </c>
      <c r="E25" t="s">
        <v>10</v>
      </c>
      <c r="F25" t="s">
        <v>242</v>
      </c>
      <c r="G25">
        <v>4</v>
      </c>
      <c r="H25">
        <v>16</v>
      </c>
      <c r="I25">
        <v>0</v>
      </c>
      <c r="J25">
        <v>4</v>
      </c>
      <c r="K25" t="s">
        <v>65</v>
      </c>
      <c r="L25" s="18">
        <v>0.42083333333333334</v>
      </c>
      <c r="M25" t="s">
        <v>65</v>
      </c>
      <c r="N25" s="18">
        <v>0.59583333333333333</v>
      </c>
      <c r="O25" t="s">
        <v>40</v>
      </c>
      <c r="P25" t="s">
        <v>14</v>
      </c>
      <c r="Q25" t="s">
        <v>13</v>
      </c>
      <c r="T25" s="18">
        <v>0</v>
      </c>
      <c r="W25" s="18">
        <v>0</v>
      </c>
      <c r="Y25">
        <v>0</v>
      </c>
      <c r="Z25">
        <v>0</v>
      </c>
      <c r="AB25" t="s">
        <v>20</v>
      </c>
      <c r="AC25">
        <v>19</v>
      </c>
    </row>
    <row r="26" spans="1:29" x14ac:dyDescent="0.25">
      <c r="A26">
        <v>127122542</v>
      </c>
      <c r="B26">
        <v>2030377954</v>
      </c>
      <c r="C26">
        <v>390</v>
      </c>
      <c r="E26" t="s">
        <v>10</v>
      </c>
      <c r="F26" t="s">
        <v>243</v>
      </c>
      <c r="G26">
        <v>4</v>
      </c>
      <c r="H26">
        <v>32</v>
      </c>
      <c r="I26">
        <v>0</v>
      </c>
      <c r="J26">
        <v>8</v>
      </c>
      <c r="K26" t="s">
        <v>68</v>
      </c>
      <c r="L26" s="18">
        <v>0</v>
      </c>
      <c r="M26" t="s">
        <v>68</v>
      </c>
      <c r="N26" s="18">
        <v>0.33333333333333331</v>
      </c>
      <c r="O26" t="s">
        <v>19</v>
      </c>
      <c r="P26" t="s">
        <v>14</v>
      </c>
      <c r="Q26" t="s">
        <v>13</v>
      </c>
      <c r="T26" s="18">
        <v>0</v>
      </c>
      <c r="W26" s="18">
        <v>0</v>
      </c>
      <c r="Y26">
        <v>0</v>
      </c>
      <c r="Z26">
        <v>0</v>
      </c>
      <c r="AB26" t="s">
        <v>20</v>
      </c>
      <c r="AC26">
        <v>19</v>
      </c>
    </row>
    <row r="27" spans="1:29" x14ac:dyDescent="0.25">
      <c r="A27">
        <v>130878506</v>
      </c>
      <c r="B27">
        <v>2030822754</v>
      </c>
      <c r="C27">
        <v>50</v>
      </c>
      <c r="E27" t="s">
        <v>10</v>
      </c>
      <c r="F27" t="s">
        <v>249</v>
      </c>
      <c r="G27">
        <v>4</v>
      </c>
      <c r="H27">
        <v>8</v>
      </c>
      <c r="I27">
        <v>0</v>
      </c>
      <c r="J27">
        <v>2</v>
      </c>
      <c r="K27" t="s">
        <v>74</v>
      </c>
      <c r="L27" s="18">
        <v>0.42083333333333334</v>
      </c>
      <c r="M27" t="s">
        <v>74</v>
      </c>
      <c r="N27" s="18">
        <v>0.48749999999999999</v>
      </c>
      <c r="O27" t="s">
        <v>19</v>
      </c>
      <c r="P27" t="s">
        <v>14</v>
      </c>
      <c r="Q27" t="s">
        <v>13</v>
      </c>
      <c r="T27" s="18">
        <v>0</v>
      </c>
      <c r="W27" s="18">
        <v>0</v>
      </c>
      <c r="Y27">
        <v>0</v>
      </c>
      <c r="Z27">
        <v>0</v>
      </c>
      <c r="AC27">
        <v>19</v>
      </c>
    </row>
    <row r="28" spans="1:29" x14ac:dyDescent="0.25">
      <c r="A28">
        <v>130878511</v>
      </c>
      <c r="B28">
        <v>2030822754</v>
      </c>
      <c r="C28">
        <v>65</v>
      </c>
      <c r="E28" t="s">
        <v>10</v>
      </c>
      <c r="F28" t="s">
        <v>250</v>
      </c>
      <c r="G28">
        <v>4</v>
      </c>
      <c r="H28">
        <v>4</v>
      </c>
      <c r="I28">
        <v>0</v>
      </c>
      <c r="J28">
        <v>1</v>
      </c>
      <c r="K28" t="s">
        <v>65</v>
      </c>
      <c r="L28" s="18">
        <v>0.32083333333333336</v>
      </c>
      <c r="M28" t="s">
        <v>65</v>
      </c>
      <c r="N28" s="18">
        <v>0.35416666666666669</v>
      </c>
      <c r="O28" t="s">
        <v>40</v>
      </c>
      <c r="P28" t="s">
        <v>14</v>
      </c>
      <c r="Q28" t="s">
        <v>13</v>
      </c>
      <c r="T28" s="18">
        <v>0</v>
      </c>
      <c r="W28" s="18">
        <v>0</v>
      </c>
      <c r="Y28">
        <v>0</v>
      </c>
      <c r="Z28">
        <v>0</v>
      </c>
      <c r="AC28">
        <v>19</v>
      </c>
    </row>
    <row r="29" spans="1:29" x14ac:dyDescent="0.25">
      <c r="A29">
        <v>130878509</v>
      </c>
      <c r="B29">
        <v>2030822754</v>
      </c>
      <c r="C29">
        <v>80</v>
      </c>
      <c r="E29" t="s">
        <v>10</v>
      </c>
      <c r="F29" t="s">
        <v>251</v>
      </c>
      <c r="G29">
        <v>4</v>
      </c>
      <c r="H29">
        <v>4</v>
      </c>
      <c r="I29">
        <v>0</v>
      </c>
      <c r="J29">
        <v>1</v>
      </c>
      <c r="K29" t="s">
        <v>65</v>
      </c>
      <c r="L29" s="18">
        <v>0.38750000000000001</v>
      </c>
      <c r="M29" t="s">
        <v>65</v>
      </c>
      <c r="N29" s="18">
        <v>0.42083333333333334</v>
      </c>
      <c r="O29" t="s">
        <v>40</v>
      </c>
      <c r="P29" t="s">
        <v>14</v>
      </c>
      <c r="Q29" t="s">
        <v>13</v>
      </c>
      <c r="T29" s="18">
        <v>0</v>
      </c>
      <c r="W29" s="18">
        <v>0</v>
      </c>
      <c r="Y29">
        <v>0</v>
      </c>
      <c r="Z29">
        <v>0</v>
      </c>
      <c r="AC29">
        <v>19</v>
      </c>
    </row>
    <row r="30" spans="1:29" x14ac:dyDescent="0.25">
      <c r="A30">
        <v>130878512</v>
      </c>
      <c r="B30">
        <v>2030822754</v>
      </c>
      <c r="C30">
        <v>100</v>
      </c>
      <c r="E30" t="s">
        <v>10</v>
      </c>
      <c r="F30" t="s">
        <v>252</v>
      </c>
      <c r="G30">
        <v>4</v>
      </c>
      <c r="H30">
        <v>4</v>
      </c>
      <c r="I30">
        <v>0</v>
      </c>
      <c r="J30">
        <v>1</v>
      </c>
      <c r="K30" t="s">
        <v>65</v>
      </c>
      <c r="L30" s="18">
        <v>0.48749999999999999</v>
      </c>
      <c r="M30" t="s">
        <v>65</v>
      </c>
      <c r="N30" s="18">
        <v>0.5625</v>
      </c>
      <c r="O30" t="s">
        <v>40</v>
      </c>
      <c r="P30" t="s">
        <v>14</v>
      </c>
      <c r="Q30" t="s">
        <v>13</v>
      </c>
      <c r="T30" s="18">
        <v>0</v>
      </c>
      <c r="W30" s="18">
        <v>0</v>
      </c>
      <c r="Y30">
        <v>0</v>
      </c>
      <c r="Z30">
        <v>0</v>
      </c>
      <c r="AC30">
        <v>19</v>
      </c>
    </row>
    <row r="31" spans="1:29" x14ac:dyDescent="0.25">
      <c r="A31">
        <v>130487023</v>
      </c>
      <c r="B31">
        <v>2030910958</v>
      </c>
      <c r="C31">
        <v>50</v>
      </c>
      <c r="E31" t="s">
        <v>10</v>
      </c>
      <c r="F31" t="s">
        <v>253</v>
      </c>
      <c r="G31">
        <v>4</v>
      </c>
      <c r="H31">
        <v>8</v>
      </c>
      <c r="I31">
        <v>0</v>
      </c>
      <c r="J31">
        <v>2</v>
      </c>
      <c r="K31" t="s">
        <v>68</v>
      </c>
      <c r="L31" s="18">
        <v>0.37916666666666665</v>
      </c>
      <c r="M31" t="s">
        <v>68</v>
      </c>
      <c r="N31" s="18">
        <v>0.44583333333333336</v>
      </c>
      <c r="O31" t="s">
        <v>11</v>
      </c>
      <c r="P31" t="s">
        <v>14</v>
      </c>
      <c r="Q31" t="s">
        <v>13</v>
      </c>
      <c r="T31" s="18">
        <v>0</v>
      </c>
      <c r="W31" s="18">
        <v>0</v>
      </c>
      <c r="Y31">
        <v>0</v>
      </c>
      <c r="Z31">
        <v>0</v>
      </c>
      <c r="AA31">
        <v>1</v>
      </c>
      <c r="AB31" t="s">
        <v>20</v>
      </c>
      <c r="AC31">
        <v>19</v>
      </c>
    </row>
    <row r="32" spans="1:29" x14ac:dyDescent="0.25">
      <c r="A32">
        <v>130715419</v>
      </c>
      <c r="B32">
        <v>2030944321</v>
      </c>
      <c r="C32">
        <v>80</v>
      </c>
      <c r="E32" t="s">
        <v>10</v>
      </c>
      <c r="F32" t="s">
        <v>254</v>
      </c>
      <c r="G32">
        <v>4</v>
      </c>
      <c r="H32">
        <v>8</v>
      </c>
      <c r="I32">
        <v>0</v>
      </c>
      <c r="J32">
        <v>2</v>
      </c>
      <c r="K32" t="s">
        <v>68</v>
      </c>
      <c r="L32" s="18">
        <v>0.41249999999999998</v>
      </c>
      <c r="M32" t="s">
        <v>68</v>
      </c>
      <c r="N32" s="18">
        <v>0.47916666666666669</v>
      </c>
      <c r="O32" t="s">
        <v>11</v>
      </c>
      <c r="P32" t="s">
        <v>14</v>
      </c>
      <c r="Q32" t="s">
        <v>13</v>
      </c>
      <c r="T32" s="18">
        <v>0</v>
      </c>
      <c r="W32" s="18">
        <v>0</v>
      </c>
      <c r="Y32">
        <v>0</v>
      </c>
      <c r="Z32">
        <v>0</v>
      </c>
      <c r="AA32">
        <v>1</v>
      </c>
      <c r="AB32" t="s">
        <v>20</v>
      </c>
      <c r="AC32">
        <v>19</v>
      </c>
    </row>
    <row r="33" spans="1:29" x14ac:dyDescent="0.25">
      <c r="A33">
        <v>132115133</v>
      </c>
      <c r="B33">
        <v>2031111332</v>
      </c>
      <c r="C33">
        <v>10</v>
      </c>
      <c r="E33" t="s">
        <v>10</v>
      </c>
      <c r="F33" t="s">
        <v>256</v>
      </c>
      <c r="G33">
        <v>4</v>
      </c>
      <c r="H33">
        <v>16</v>
      </c>
      <c r="I33">
        <v>0</v>
      </c>
      <c r="J33">
        <v>4</v>
      </c>
      <c r="K33" t="s">
        <v>66</v>
      </c>
      <c r="L33" s="18">
        <v>0.41249999999999998</v>
      </c>
      <c r="M33" t="s">
        <v>66</v>
      </c>
      <c r="N33" s="18">
        <v>0.58750000000000002</v>
      </c>
      <c r="O33" t="s">
        <v>40</v>
      </c>
      <c r="P33" t="s">
        <v>14</v>
      </c>
      <c r="Q33" t="s">
        <v>13</v>
      </c>
      <c r="T33" s="18">
        <v>0</v>
      </c>
      <c r="W33" s="18">
        <v>0</v>
      </c>
      <c r="Y33">
        <v>0</v>
      </c>
      <c r="Z33">
        <v>0</v>
      </c>
      <c r="AB33" t="s">
        <v>20</v>
      </c>
      <c r="AC33">
        <v>19</v>
      </c>
    </row>
    <row r="34" spans="1:29" x14ac:dyDescent="0.25">
      <c r="A34">
        <v>132684476</v>
      </c>
      <c r="B34">
        <v>2031202781</v>
      </c>
      <c r="C34">
        <v>10</v>
      </c>
      <c r="E34" t="s">
        <v>10</v>
      </c>
      <c r="F34" t="s">
        <v>258</v>
      </c>
      <c r="G34">
        <v>4</v>
      </c>
      <c r="H34">
        <v>16</v>
      </c>
      <c r="I34">
        <v>0</v>
      </c>
      <c r="J34">
        <v>4</v>
      </c>
      <c r="K34" t="s">
        <v>65</v>
      </c>
      <c r="L34" s="18">
        <v>0.5625</v>
      </c>
      <c r="M34" t="s">
        <v>65</v>
      </c>
      <c r="N34" s="18">
        <v>0.6958333333333333</v>
      </c>
      <c r="O34" t="s">
        <v>11</v>
      </c>
      <c r="P34" t="s">
        <v>14</v>
      </c>
      <c r="Q34" t="s">
        <v>13</v>
      </c>
      <c r="T34" s="18">
        <v>0</v>
      </c>
      <c r="W34" s="18">
        <v>0</v>
      </c>
      <c r="Y34">
        <v>0</v>
      </c>
      <c r="Z34">
        <v>0</v>
      </c>
      <c r="AA34">
        <v>2</v>
      </c>
      <c r="AB34" t="s">
        <v>20</v>
      </c>
      <c r="AC34">
        <v>19</v>
      </c>
    </row>
    <row r="35" spans="1:29" x14ac:dyDescent="0.25">
      <c r="A35">
        <v>133267902</v>
      </c>
      <c r="B35">
        <v>2031202781</v>
      </c>
      <c r="C35">
        <v>65</v>
      </c>
      <c r="D35">
        <v>30</v>
      </c>
      <c r="E35" t="s">
        <v>10</v>
      </c>
      <c r="F35" t="s">
        <v>259</v>
      </c>
      <c r="G35">
        <v>2</v>
      </c>
      <c r="H35">
        <v>8</v>
      </c>
      <c r="I35">
        <v>0</v>
      </c>
      <c r="J35">
        <v>4</v>
      </c>
      <c r="K35" t="s">
        <v>77</v>
      </c>
      <c r="L35" s="18">
        <v>0.41249999999999998</v>
      </c>
      <c r="M35" t="s">
        <v>77</v>
      </c>
      <c r="N35" s="18">
        <v>0.58750000000000002</v>
      </c>
      <c r="O35" t="s">
        <v>11</v>
      </c>
      <c r="P35" t="s">
        <v>14</v>
      </c>
      <c r="Q35" t="s">
        <v>13</v>
      </c>
      <c r="T35" s="18">
        <v>0</v>
      </c>
      <c r="W35" s="18">
        <v>0</v>
      </c>
      <c r="Y35">
        <v>0</v>
      </c>
      <c r="Z35">
        <v>0</v>
      </c>
      <c r="AA35">
        <v>2</v>
      </c>
      <c r="AB35" t="s">
        <v>20</v>
      </c>
      <c r="AC35">
        <v>19</v>
      </c>
    </row>
    <row r="36" spans="1:29" x14ac:dyDescent="0.25">
      <c r="A36">
        <v>132917266</v>
      </c>
      <c r="B36">
        <v>2031202781</v>
      </c>
      <c r="C36">
        <v>60</v>
      </c>
      <c r="E36" t="s">
        <v>10</v>
      </c>
      <c r="F36" t="s">
        <v>260</v>
      </c>
      <c r="G36">
        <v>4</v>
      </c>
      <c r="H36">
        <v>8</v>
      </c>
      <c r="I36">
        <v>0</v>
      </c>
      <c r="J36">
        <v>2</v>
      </c>
      <c r="K36" t="s">
        <v>77</v>
      </c>
      <c r="L36" s="18">
        <v>0.34583333333333333</v>
      </c>
      <c r="M36" t="s">
        <v>77</v>
      </c>
      <c r="N36" s="18">
        <v>0.41249999999999998</v>
      </c>
      <c r="O36" t="s">
        <v>11</v>
      </c>
      <c r="P36" t="s">
        <v>14</v>
      </c>
      <c r="Q36" t="s">
        <v>13</v>
      </c>
      <c r="T36" s="18">
        <v>0</v>
      </c>
      <c r="W36" s="18">
        <v>0</v>
      </c>
      <c r="Y36">
        <v>0</v>
      </c>
      <c r="Z36">
        <v>0</v>
      </c>
      <c r="AA36">
        <v>2</v>
      </c>
      <c r="AB36" t="s">
        <v>20</v>
      </c>
      <c r="AC36">
        <v>19</v>
      </c>
    </row>
    <row r="37" spans="1:29" x14ac:dyDescent="0.25">
      <c r="A37">
        <v>132685325</v>
      </c>
      <c r="B37">
        <v>2031202862</v>
      </c>
      <c r="C37">
        <v>5</v>
      </c>
      <c r="E37" t="s">
        <v>10</v>
      </c>
      <c r="F37" t="s">
        <v>261</v>
      </c>
      <c r="G37">
        <v>4</v>
      </c>
      <c r="H37">
        <v>12</v>
      </c>
      <c r="I37">
        <v>0</v>
      </c>
      <c r="J37">
        <v>3</v>
      </c>
      <c r="K37" t="s">
        <v>68</v>
      </c>
      <c r="L37" s="18">
        <v>0.3125</v>
      </c>
      <c r="M37" t="s">
        <v>68</v>
      </c>
      <c r="N37" s="18">
        <v>0.41249999999999998</v>
      </c>
      <c r="O37" t="s">
        <v>40</v>
      </c>
      <c r="P37" t="s">
        <v>14</v>
      </c>
      <c r="Q37" t="s">
        <v>13</v>
      </c>
      <c r="T37" s="18">
        <v>0</v>
      </c>
      <c r="W37" s="19">
        <v>1</v>
      </c>
      <c r="Y37">
        <v>0</v>
      </c>
      <c r="Z37">
        <v>0</v>
      </c>
      <c r="AC37">
        <v>19</v>
      </c>
    </row>
    <row r="38" spans="1:29" x14ac:dyDescent="0.25">
      <c r="A38">
        <v>132685326</v>
      </c>
      <c r="B38">
        <v>2031202862</v>
      </c>
      <c r="C38">
        <v>90</v>
      </c>
      <c r="E38" t="s">
        <v>10</v>
      </c>
      <c r="F38" t="s">
        <v>262</v>
      </c>
      <c r="G38">
        <v>4</v>
      </c>
      <c r="H38">
        <v>6</v>
      </c>
      <c r="I38">
        <v>0</v>
      </c>
      <c r="J38">
        <v>1.5</v>
      </c>
      <c r="K38" t="s">
        <v>74</v>
      </c>
      <c r="L38" s="18">
        <v>0.6875</v>
      </c>
      <c r="M38" t="s">
        <v>65</v>
      </c>
      <c r="N38" s="18">
        <v>0.32083333333333336</v>
      </c>
      <c r="O38" t="s">
        <v>40</v>
      </c>
      <c r="P38" t="s">
        <v>14</v>
      </c>
      <c r="Q38" t="s">
        <v>13</v>
      </c>
      <c r="T38" s="18">
        <v>0</v>
      </c>
      <c r="W38" s="19">
        <v>1</v>
      </c>
      <c r="Y38">
        <v>0</v>
      </c>
      <c r="Z38">
        <v>0</v>
      </c>
      <c r="AC38">
        <v>19</v>
      </c>
    </row>
    <row r="39" spans="1:29" x14ac:dyDescent="0.25">
      <c r="A39">
        <v>133107766</v>
      </c>
      <c r="B39">
        <v>2031240660</v>
      </c>
      <c r="C39">
        <v>370</v>
      </c>
      <c r="E39" t="s">
        <v>10</v>
      </c>
      <c r="F39" t="s">
        <v>266</v>
      </c>
      <c r="G39">
        <v>4</v>
      </c>
      <c r="H39">
        <v>8</v>
      </c>
      <c r="I39">
        <v>0</v>
      </c>
      <c r="J39">
        <v>2</v>
      </c>
      <c r="K39" t="s">
        <v>68</v>
      </c>
      <c r="L39" s="18">
        <v>0</v>
      </c>
      <c r="M39" t="s">
        <v>68</v>
      </c>
      <c r="N39" s="18">
        <v>8.3333333333333329E-2</v>
      </c>
      <c r="O39" t="s">
        <v>40</v>
      </c>
      <c r="P39" t="s">
        <v>14</v>
      </c>
      <c r="Q39" t="s">
        <v>13</v>
      </c>
      <c r="T39" s="18">
        <v>0</v>
      </c>
      <c r="W39" s="19">
        <v>0</v>
      </c>
      <c r="Y39">
        <v>0</v>
      </c>
      <c r="Z39">
        <v>0</v>
      </c>
      <c r="AA39">
        <v>2</v>
      </c>
      <c r="AB39" t="s">
        <v>20</v>
      </c>
      <c r="AC39">
        <v>19</v>
      </c>
    </row>
    <row r="40" spans="1:29" x14ac:dyDescent="0.25">
      <c r="A40">
        <v>133107779</v>
      </c>
      <c r="B40">
        <v>2031240660</v>
      </c>
      <c r="C40">
        <v>500</v>
      </c>
      <c r="E40" t="s">
        <v>10</v>
      </c>
      <c r="F40" t="s">
        <v>267</v>
      </c>
      <c r="G40">
        <v>4</v>
      </c>
      <c r="H40">
        <v>32</v>
      </c>
      <c r="I40">
        <v>0</v>
      </c>
      <c r="J40">
        <v>8</v>
      </c>
      <c r="K40" t="s">
        <v>68</v>
      </c>
      <c r="L40" s="18">
        <v>0</v>
      </c>
      <c r="M40" t="s">
        <v>68</v>
      </c>
      <c r="N40" s="18">
        <v>0.33333333333333331</v>
      </c>
      <c r="O40" t="s">
        <v>40</v>
      </c>
      <c r="P40" t="s">
        <v>14</v>
      </c>
      <c r="Q40" t="s">
        <v>13</v>
      </c>
      <c r="T40" s="18">
        <v>0</v>
      </c>
      <c r="W40" s="18">
        <v>0</v>
      </c>
      <c r="Y40">
        <v>0</v>
      </c>
      <c r="Z40">
        <v>0</v>
      </c>
      <c r="AA40">
        <v>2</v>
      </c>
      <c r="AB40" t="s">
        <v>20</v>
      </c>
      <c r="AC40">
        <v>19</v>
      </c>
    </row>
    <row r="41" spans="1:29" x14ac:dyDescent="0.25">
      <c r="A41">
        <v>133324392</v>
      </c>
      <c r="B41">
        <v>2031307547</v>
      </c>
      <c r="C41">
        <v>10</v>
      </c>
      <c r="E41" t="s">
        <v>10</v>
      </c>
      <c r="F41" t="s">
        <v>268</v>
      </c>
      <c r="G41">
        <v>4</v>
      </c>
      <c r="H41">
        <v>12</v>
      </c>
      <c r="I41">
        <v>0</v>
      </c>
      <c r="J41">
        <v>3</v>
      </c>
      <c r="K41" t="s">
        <v>74</v>
      </c>
      <c r="L41" s="18">
        <v>0.67878472222222219</v>
      </c>
      <c r="M41" t="s">
        <v>65</v>
      </c>
      <c r="N41" s="18">
        <v>0.38711805555555556</v>
      </c>
      <c r="O41" t="s">
        <v>11</v>
      </c>
      <c r="P41" t="s">
        <v>14</v>
      </c>
      <c r="Q41" t="s">
        <v>13</v>
      </c>
      <c r="T41" s="18">
        <v>0</v>
      </c>
      <c r="W41" s="18">
        <v>0</v>
      </c>
      <c r="Y41">
        <v>0</v>
      </c>
      <c r="Z41">
        <v>0</v>
      </c>
      <c r="AA41">
        <v>2</v>
      </c>
      <c r="AB41" t="s">
        <v>20</v>
      </c>
      <c r="AC41">
        <v>19</v>
      </c>
    </row>
    <row r="42" spans="1:29" x14ac:dyDescent="0.25">
      <c r="A42">
        <v>133433972</v>
      </c>
      <c r="B42">
        <v>2031307547</v>
      </c>
      <c r="C42">
        <v>30</v>
      </c>
      <c r="E42" t="s">
        <v>10</v>
      </c>
      <c r="F42" t="s">
        <v>269</v>
      </c>
      <c r="G42">
        <v>4</v>
      </c>
      <c r="H42">
        <v>12</v>
      </c>
      <c r="I42">
        <v>0</v>
      </c>
      <c r="J42">
        <v>3</v>
      </c>
      <c r="K42" t="s">
        <v>66</v>
      </c>
      <c r="L42" s="18">
        <v>0.64583333333333337</v>
      </c>
      <c r="M42" t="s">
        <v>77</v>
      </c>
      <c r="N42" s="18">
        <v>0.35416666666666669</v>
      </c>
      <c r="O42" t="s">
        <v>11</v>
      </c>
      <c r="P42" t="s">
        <v>14</v>
      </c>
      <c r="Q42" t="s">
        <v>13</v>
      </c>
      <c r="T42" s="18">
        <v>0</v>
      </c>
      <c r="W42" s="18">
        <v>0</v>
      </c>
      <c r="Y42">
        <v>0</v>
      </c>
      <c r="Z42">
        <v>0</v>
      </c>
      <c r="AA42">
        <v>2</v>
      </c>
      <c r="AB42" t="s">
        <v>20</v>
      </c>
      <c r="AC42">
        <v>19</v>
      </c>
    </row>
    <row r="43" spans="1:29" x14ac:dyDescent="0.25">
      <c r="A43">
        <v>133324393</v>
      </c>
      <c r="B43">
        <v>2031307548</v>
      </c>
      <c r="C43">
        <v>10</v>
      </c>
      <c r="E43" t="s">
        <v>10</v>
      </c>
      <c r="F43" t="s">
        <v>270</v>
      </c>
      <c r="G43">
        <v>4</v>
      </c>
      <c r="H43">
        <v>12</v>
      </c>
      <c r="I43">
        <v>0</v>
      </c>
      <c r="J43">
        <v>3</v>
      </c>
      <c r="K43" t="s">
        <v>65</v>
      </c>
      <c r="L43" s="18">
        <v>0.32916666666666666</v>
      </c>
      <c r="M43" t="s">
        <v>65</v>
      </c>
      <c r="N43" s="18">
        <v>0.45416666666666666</v>
      </c>
      <c r="O43" t="s">
        <v>11</v>
      </c>
      <c r="P43" t="s">
        <v>14</v>
      </c>
      <c r="Q43" t="s">
        <v>13</v>
      </c>
      <c r="T43" s="18">
        <v>0</v>
      </c>
      <c r="W43" s="18">
        <v>0</v>
      </c>
      <c r="Y43">
        <v>0</v>
      </c>
      <c r="Z43">
        <v>0</v>
      </c>
      <c r="AA43">
        <v>2</v>
      </c>
      <c r="AB43" t="s">
        <v>20</v>
      </c>
      <c r="AC43">
        <v>19</v>
      </c>
    </row>
    <row r="44" spans="1:29" x14ac:dyDescent="0.25">
      <c r="A44">
        <v>133433975</v>
      </c>
      <c r="B44">
        <v>2031307548</v>
      </c>
      <c r="C44">
        <v>30</v>
      </c>
      <c r="E44" t="s">
        <v>10</v>
      </c>
      <c r="F44" t="s">
        <v>271</v>
      </c>
      <c r="G44">
        <v>4</v>
      </c>
      <c r="H44">
        <v>8</v>
      </c>
      <c r="I44">
        <v>0</v>
      </c>
      <c r="J44">
        <v>2</v>
      </c>
      <c r="K44" t="s">
        <v>66</v>
      </c>
      <c r="L44" s="18">
        <v>0.6791666666666667</v>
      </c>
      <c r="M44" t="s">
        <v>77</v>
      </c>
      <c r="N44" s="18">
        <v>0.34583333333333333</v>
      </c>
      <c r="O44" t="s">
        <v>11</v>
      </c>
      <c r="P44" t="s">
        <v>14</v>
      </c>
      <c r="Q44" t="s">
        <v>13</v>
      </c>
      <c r="T44" s="18">
        <v>0</v>
      </c>
      <c r="W44" s="19">
        <v>0</v>
      </c>
      <c r="Y44">
        <v>0</v>
      </c>
      <c r="Z44">
        <v>0</v>
      </c>
      <c r="AA44">
        <v>2</v>
      </c>
      <c r="AB44" t="s">
        <v>20</v>
      </c>
      <c r="AC44">
        <v>19</v>
      </c>
    </row>
    <row r="45" spans="1:29" x14ac:dyDescent="0.25">
      <c r="A45">
        <v>133475254</v>
      </c>
      <c r="B45">
        <v>2031336831</v>
      </c>
      <c r="C45">
        <v>60</v>
      </c>
      <c r="E45" t="s">
        <v>10</v>
      </c>
      <c r="F45" t="s">
        <v>274</v>
      </c>
      <c r="G45">
        <v>4</v>
      </c>
      <c r="H45">
        <v>8</v>
      </c>
      <c r="I45">
        <v>0</v>
      </c>
      <c r="J45">
        <v>2</v>
      </c>
      <c r="K45" t="s">
        <v>68</v>
      </c>
      <c r="L45" s="18">
        <v>0.3125</v>
      </c>
      <c r="M45" t="s">
        <v>68</v>
      </c>
      <c r="N45" s="18">
        <v>0.37916666666666665</v>
      </c>
      <c r="O45" t="s">
        <v>11</v>
      </c>
      <c r="P45" t="s">
        <v>14</v>
      </c>
      <c r="Q45" t="s">
        <v>13</v>
      </c>
      <c r="T45" s="18">
        <v>0</v>
      </c>
      <c r="W45" s="18">
        <v>0</v>
      </c>
      <c r="Y45">
        <v>0</v>
      </c>
      <c r="Z45">
        <v>0</v>
      </c>
      <c r="AB45" t="s">
        <v>20</v>
      </c>
      <c r="AC45">
        <v>19</v>
      </c>
    </row>
    <row r="46" spans="1:29" x14ac:dyDescent="0.25">
      <c r="A46">
        <v>133559712</v>
      </c>
      <c r="B46">
        <v>2031348916</v>
      </c>
      <c r="C46">
        <v>80</v>
      </c>
      <c r="E46" t="s">
        <v>10</v>
      </c>
      <c r="F46" t="s">
        <v>275</v>
      </c>
      <c r="G46">
        <v>4</v>
      </c>
      <c r="H46">
        <v>12</v>
      </c>
      <c r="I46">
        <v>0</v>
      </c>
      <c r="J46">
        <v>3</v>
      </c>
      <c r="K46" t="s">
        <v>65</v>
      </c>
      <c r="L46" s="18">
        <v>0.49583333333333335</v>
      </c>
      <c r="M46" t="s">
        <v>65</v>
      </c>
      <c r="N46" s="18">
        <v>0.63749999999999996</v>
      </c>
      <c r="O46" t="s">
        <v>40</v>
      </c>
      <c r="P46" t="s">
        <v>14</v>
      </c>
      <c r="Q46" t="s">
        <v>13</v>
      </c>
      <c r="T46" s="18">
        <v>0</v>
      </c>
      <c r="W46" s="18">
        <v>1</v>
      </c>
      <c r="Y46">
        <v>0</v>
      </c>
      <c r="Z46">
        <v>0</v>
      </c>
      <c r="AA46">
        <v>1</v>
      </c>
      <c r="AB46" t="s">
        <v>20</v>
      </c>
      <c r="AC46">
        <v>19</v>
      </c>
    </row>
    <row r="47" spans="1:29" x14ac:dyDescent="0.25">
      <c r="A47">
        <v>134026342</v>
      </c>
      <c r="B47">
        <v>2031357143</v>
      </c>
      <c r="C47">
        <v>220</v>
      </c>
      <c r="E47" t="s">
        <v>10</v>
      </c>
      <c r="F47" t="s">
        <v>63</v>
      </c>
      <c r="G47">
        <v>4</v>
      </c>
      <c r="H47">
        <v>12</v>
      </c>
      <c r="I47">
        <v>0</v>
      </c>
      <c r="J47">
        <v>3</v>
      </c>
      <c r="K47" t="s">
        <v>66</v>
      </c>
      <c r="L47" s="18">
        <v>0.45083333333333331</v>
      </c>
      <c r="M47" t="s">
        <v>66</v>
      </c>
      <c r="N47" s="18">
        <v>0.59250000000000003</v>
      </c>
      <c r="O47" t="s">
        <v>276</v>
      </c>
      <c r="P47" t="s">
        <v>14</v>
      </c>
      <c r="Q47" t="s">
        <v>13</v>
      </c>
      <c r="T47" s="18">
        <v>0</v>
      </c>
      <c r="W47" s="18">
        <v>0</v>
      </c>
      <c r="Y47">
        <v>0</v>
      </c>
      <c r="Z47">
        <v>0</v>
      </c>
      <c r="AB47" t="s">
        <v>20</v>
      </c>
      <c r="AC47">
        <v>19</v>
      </c>
    </row>
    <row r="48" spans="1:29" x14ac:dyDescent="0.25">
      <c r="A48">
        <v>134440806</v>
      </c>
      <c r="B48">
        <v>2031482284</v>
      </c>
      <c r="C48">
        <v>40</v>
      </c>
      <c r="E48" t="s">
        <v>10</v>
      </c>
      <c r="F48" t="s">
        <v>279</v>
      </c>
      <c r="G48">
        <v>4</v>
      </c>
      <c r="H48">
        <v>16</v>
      </c>
      <c r="I48">
        <v>0</v>
      </c>
      <c r="J48">
        <v>4</v>
      </c>
      <c r="K48" t="s">
        <v>66</v>
      </c>
      <c r="L48" s="18">
        <v>0.33750000000000002</v>
      </c>
      <c r="M48" t="s">
        <v>66</v>
      </c>
      <c r="N48" s="18">
        <v>0.54583333333333328</v>
      </c>
      <c r="O48" t="s">
        <v>40</v>
      </c>
      <c r="P48" t="s">
        <v>14</v>
      </c>
      <c r="Q48" t="s">
        <v>13</v>
      </c>
      <c r="T48" s="18">
        <v>0</v>
      </c>
      <c r="W48" s="18">
        <v>0</v>
      </c>
      <c r="Y48">
        <v>0</v>
      </c>
      <c r="Z48">
        <v>0</v>
      </c>
      <c r="AA48">
        <v>1</v>
      </c>
      <c r="AB48" t="s">
        <v>20</v>
      </c>
      <c r="AC48">
        <v>19</v>
      </c>
    </row>
    <row r="49" spans="1:29" x14ac:dyDescent="0.25">
      <c r="A49">
        <v>134440807</v>
      </c>
      <c r="B49">
        <v>2031482284</v>
      </c>
      <c r="C49">
        <v>50</v>
      </c>
      <c r="E49" t="s">
        <v>10</v>
      </c>
      <c r="F49" t="s">
        <v>280</v>
      </c>
      <c r="G49">
        <v>4</v>
      </c>
      <c r="H49">
        <v>8</v>
      </c>
      <c r="I49">
        <v>0</v>
      </c>
      <c r="J49">
        <v>2</v>
      </c>
      <c r="K49" t="s">
        <v>66</v>
      </c>
      <c r="L49" s="18">
        <v>0.54583333333333328</v>
      </c>
      <c r="M49" t="s">
        <v>66</v>
      </c>
      <c r="N49" s="18">
        <v>0.62916666666666665</v>
      </c>
      <c r="O49" t="s">
        <v>11</v>
      </c>
      <c r="P49" t="s">
        <v>14</v>
      </c>
      <c r="Q49" t="s">
        <v>13</v>
      </c>
      <c r="T49" s="18">
        <v>0</v>
      </c>
      <c r="W49" s="18">
        <v>0</v>
      </c>
      <c r="Y49">
        <v>0</v>
      </c>
      <c r="Z49">
        <v>0</v>
      </c>
      <c r="AA49">
        <v>1</v>
      </c>
      <c r="AB49" t="s">
        <v>20</v>
      </c>
      <c r="AC49">
        <v>19</v>
      </c>
    </row>
    <row r="50" spans="1:29" x14ac:dyDescent="0.25">
      <c r="A50">
        <v>134440808</v>
      </c>
      <c r="B50">
        <v>2031482284</v>
      </c>
      <c r="C50">
        <v>60</v>
      </c>
      <c r="E50" t="s">
        <v>10</v>
      </c>
      <c r="F50" t="s">
        <v>281</v>
      </c>
      <c r="G50">
        <v>4</v>
      </c>
      <c r="H50">
        <v>8</v>
      </c>
      <c r="I50">
        <v>0</v>
      </c>
      <c r="J50">
        <v>2</v>
      </c>
      <c r="K50" t="s">
        <v>66</v>
      </c>
      <c r="L50" s="18">
        <v>0.62916666666666665</v>
      </c>
      <c r="M50" t="s">
        <v>66</v>
      </c>
      <c r="N50" s="18">
        <v>0.71250000000000002</v>
      </c>
      <c r="O50" t="s">
        <v>11</v>
      </c>
      <c r="P50" t="s">
        <v>14</v>
      </c>
      <c r="Q50" t="s">
        <v>13</v>
      </c>
      <c r="T50" s="18">
        <v>0</v>
      </c>
      <c r="W50" s="18">
        <v>0</v>
      </c>
      <c r="Y50">
        <v>0</v>
      </c>
      <c r="Z50">
        <v>0</v>
      </c>
      <c r="AA50">
        <v>1</v>
      </c>
      <c r="AB50" t="s">
        <v>20</v>
      </c>
      <c r="AC50">
        <v>19</v>
      </c>
    </row>
    <row r="51" spans="1:29" x14ac:dyDescent="0.25">
      <c r="A51">
        <v>134440814</v>
      </c>
      <c r="B51">
        <v>2031482284</v>
      </c>
      <c r="C51">
        <v>130</v>
      </c>
      <c r="E51" t="s">
        <v>10</v>
      </c>
      <c r="F51" t="s">
        <v>282</v>
      </c>
      <c r="G51">
        <v>4</v>
      </c>
      <c r="H51">
        <v>12</v>
      </c>
      <c r="I51">
        <v>0</v>
      </c>
      <c r="J51">
        <v>3</v>
      </c>
      <c r="K51" t="s">
        <v>74</v>
      </c>
      <c r="L51" s="18">
        <v>0.37083333333333335</v>
      </c>
      <c r="M51" t="s">
        <v>74</v>
      </c>
      <c r="N51" s="18">
        <v>0.49583333333333335</v>
      </c>
      <c r="O51" t="s">
        <v>40</v>
      </c>
      <c r="P51" t="s">
        <v>14</v>
      </c>
      <c r="Q51" t="s">
        <v>13</v>
      </c>
      <c r="T51" s="18">
        <v>0</v>
      </c>
      <c r="W51" s="18">
        <v>0</v>
      </c>
      <c r="Y51">
        <v>0</v>
      </c>
      <c r="Z51">
        <v>0</v>
      </c>
      <c r="AA51">
        <v>1</v>
      </c>
      <c r="AB51" t="s">
        <v>20</v>
      </c>
      <c r="AC51">
        <v>19</v>
      </c>
    </row>
    <row r="52" spans="1:29" x14ac:dyDescent="0.25">
      <c r="A52">
        <v>134613612</v>
      </c>
      <c r="B52">
        <v>2031519455</v>
      </c>
      <c r="C52">
        <v>10</v>
      </c>
      <c r="E52" t="s">
        <v>10</v>
      </c>
      <c r="F52" t="s">
        <v>285</v>
      </c>
      <c r="G52">
        <v>4</v>
      </c>
      <c r="H52">
        <v>16</v>
      </c>
      <c r="I52">
        <v>0</v>
      </c>
      <c r="J52">
        <v>4</v>
      </c>
      <c r="K52" t="s">
        <v>68</v>
      </c>
      <c r="L52" s="18">
        <v>0</v>
      </c>
      <c r="M52" t="s">
        <v>68</v>
      </c>
      <c r="N52" s="18">
        <v>0.16666666666666666</v>
      </c>
      <c r="O52" t="s">
        <v>40</v>
      </c>
      <c r="P52" t="s">
        <v>14</v>
      </c>
      <c r="Q52" t="s">
        <v>13</v>
      </c>
      <c r="T52" s="18">
        <v>0</v>
      </c>
      <c r="W52" s="19">
        <v>0</v>
      </c>
      <c r="Y52">
        <v>0</v>
      </c>
      <c r="Z52">
        <v>0</v>
      </c>
      <c r="AB52" t="s">
        <v>20</v>
      </c>
      <c r="AC52">
        <v>19</v>
      </c>
    </row>
    <row r="53" spans="1:29" x14ac:dyDescent="0.25">
      <c r="A53">
        <v>134614740</v>
      </c>
      <c r="B53">
        <v>2031519455</v>
      </c>
      <c r="C53">
        <v>100</v>
      </c>
      <c r="E53" t="s">
        <v>10</v>
      </c>
      <c r="F53" t="s">
        <v>286</v>
      </c>
      <c r="G53">
        <v>4</v>
      </c>
      <c r="H53">
        <v>8</v>
      </c>
      <c r="I53">
        <v>0</v>
      </c>
      <c r="J53">
        <v>2</v>
      </c>
      <c r="K53" t="s">
        <v>68</v>
      </c>
      <c r="L53" s="18">
        <v>0.91666666666666663</v>
      </c>
      <c r="M53" t="s">
        <v>68</v>
      </c>
      <c r="N53" s="18">
        <v>1</v>
      </c>
      <c r="O53" t="s">
        <v>40</v>
      </c>
      <c r="P53" t="s">
        <v>14</v>
      </c>
      <c r="Q53" t="s">
        <v>13</v>
      </c>
      <c r="T53" s="18">
        <v>0</v>
      </c>
      <c r="W53" s="18">
        <v>0</v>
      </c>
      <c r="Y53">
        <v>0</v>
      </c>
      <c r="Z53">
        <v>0</v>
      </c>
      <c r="AB53" t="s">
        <v>20</v>
      </c>
      <c r="AC53">
        <v>19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C47D-41DE-4BB3-AD6B-E0546668367F}">
  <sheetPr filterMode="1">
    <tabColor theme="0"/>
  </sheetPr>
  <dimension ref="A1:AF106"/>
  <sheetViews>
    <sheetView workbookViewId="0">
      <selection activeCell="AC2" sqref="A2:AC76"/>
    </sheetView>
  </sheetViews>
  <sheetFormatPr defaultRowHeight="15" x14ac:dyDescent="0.25"/>
  <sheetData>
    <row r="1" spans="1:32" x14ac:dyDescent="0.25">
      <c r="A1" t="s">
        <v>113</v>
      </c>
      <c r="B1" t="s">
        <v>113</v>
      </c>
      <c r="C1" t="s">
        <v>113</v>
      </c>
      <c r="D1" t="s">
        <v>113</v>
      </c>
      <c r="E1" t="s">
        <v>113</v>
      </c>
      <c r="F1" t="s">
        <v>51</v>
      </c>
      <c r="G1" t="s">
        <v>113</v>
      </c>
      <c r="H1" t="s">
        <v>113</v>
      </c>
      <c r="I1" t="s">
        <v>113</v>
      </c>
      <c r="J1" t="s">
        <v>113</v>
      </c>
      <c r="K1" t="s">
        <v>113</v>
      </c>
      <c r="L1" t="s">
        <v>113</v>
      </c>
      <c r="M1" t="s">
        <v>113</v>
      </c>
      <c r="N1" t="s">
        <v>113</v>
      </c>
      <c r="O1" t="s">
        <v>113</v>
      </c>
      <c r="P1" t="s">
        <v>113</v>
      </c>
      <c r="Q1" t="s">
        <v>113</v>
      </c>
      <c r="R1" t="s">
        <v>113</v>
      </c>
      <c r="S1" t="s">
        <v>113</v>
      </c>
      <c r="T1" t="s">
        <v>113</v>
      </c>
      <c r="U1" t="s">
        <v>113</v>
      </c>
      <c r="V1" t="s">
        <v>113</v>
      </c>
      <c r="W1" t="s">
        <v>113</v>
      </c>
      <c r="X1" t="s">
        <v>113</v>
      </c>
      <c r="Y1" t="s">
        <v>113</v>
      </c>
      <c r="Z1" t="s">
        <v>113</v>
      </c>
      <c r="AA1" t="s">
        <v>113</v>
      </c>
      <c r="AB1" t="s">
        <v>113</v>
      </c>
      <c r="AC1" t="s">
        <v>113</v>
      </c>
      <c r="AD1" t="s">
        <v>113</v>
      </c>
      <c r="AE1" t="s">
        <v>113</v>
      </c>
      <c r="AF1" t="s">
        <v>113</v>
      </c>
    </row>
    <row r="2" spans="1:32" x14ac:dyDescent="0.25">
      <c r="A2">
        <v>112410188</v>
      </c>
      <c r="B2">
        <v>2026756739</v>
      </c>
      <c r="C2">
        <v>6</v>
      </c>
      <c r="E2" t="s">
        <v>10</v>
      </c>
      <c r="F2" t="s">
        <v>213</v>
      </c>
      <c r="G2">
        <v>4</v>
      </c>
      <c r="H2">
        <v>16</v>
      </c>
      <c r="I2">
        <v>0</v>
      </c>
      <c r="J2">
        <v>4</v>
      </c>
      <c r="K2" t="s">
        <v>68</v>
      </c>
      <c r="L2" s="18">
        <v>0.3125</v>
      </c>
      <c r="M2" t="s">
        <v>68</v>
      </c>
      <c r="N2" s="18">
        <v>0.44583333333333336</v>
      </c>
      <c r="O2" t="s">
        <v>11</v>
      </c>
      <c r="P2" t="s">
        <v>14</v>
      </c>
      <c r="Q2" t="s">
        <v>13</v>
      </c>
      <c r="T2" s="18">
        <v>0</v>
      </c>
      <c r="W2" s="18">
        <v>0</v>
      </c>
      <c r="Y2">
        <v>0</v>
      </c>
      <c r="Z2">
        <v>0</v>
      </c>
      <c r="AA2">
        <v>2</v>
      </c>
      <c r="AC2">
        <v>19</v>
      </c>
    </row>
    <row r="3" spans="1:32" x14ac:dyDescent="0.25">
      <c r="A3">
        <v>107181770</v>
      </c>
      <c r="B3">
        <v>2026756739</v>
      </c>
      <c r="C3">
        <v>50</v>
      </c>
      <c r="E3" t="s">
        <v>10</v>
      </c>
      <c r="F3" t="s">
        <v>214</v>
      </c>
      <c r="G3">
        <v>4</v>
      </c>
      <c r="H3">
        <v>4</v>
      </c>
      <c r="I3">
        <v>0</v>
      </c>
      <c r="J3">
        <v>1</v>
      </c>
      <c r="K3" t="s">
        <v>77</v>
      </c>
      <c r="L3" s="18">
        <v>0.42083333333333334</v>
      </c>
      <c r="M3" t="s">
        <v>77</v>
      </c>
      <c r="N3" s="18">
        <v>0.45416666666666666</v>
      </c>
      <c r="O3" t="s">
        <v>11</v>
      </c>
      <c r="P3" t="s">
        <v>14</v>
      </c>
      <c r="Q3" t="s">
        <v>13</v>
      </c>
      <c r="T3" s="18">
        <v>0</v>
      </c>
      <c r="W3" s="18">
        <v>0</v>
      </c>
      <c r="Y3">
        <v>0</v>
      </c>
      <c r="Z3">
        <v>0</v>
      </c>
      <c r="AA3">
        <v>2</v>
      </c>
      <c r="AC3">
        <v>19</v>
      </c>
    </row>
    <row r="4" spans="1:32" x14ac:dyDescent="0.25">
      <c r="A4">
        <v>112410189</v>
      </c>
      <c r="B4">
        <v>2026756739</v>
      </c>
      <c r="C4">
        <v>60</v>
      </c>
      <c r="E4" t="s">
        <v>10</v>
      </c>
      <c r="F4" t="s">
        <v>215</v>
      </c>
      <c r="G4">
        <v>4</v>
      </c>
      <c r="H4">
        <v>8</v>
      </c>
      <c r="I4">
        <v>0</v>
      </c>
      <c r="J4">
        <v>2</v>
      </c>
      <c r="K4" t="s">
        <v>77</v>
      </c>
      <c r="L4" s="18">
        <v>0.45416666666666666</v>
      </c>
      <c r="M4" t="s">
        <v>77</v>
      </c>
      <c r="N4" s="18">
        <v>0.5625</v>
      </c>
      <c r="O4" t="s">
        <v>11</v>
      </c>
      <c r="P4" t="s">
        <v>14</v>
      </c>
      <c r="Q4" t="s">
        <v>13</v>
      </c>
      <c r="T4" s="18">
        <v>0</v>
      </c>
      <c r="W4" s="18">
        <v>0</v>
      </c>
      <c r="Y4">
        <v>0</v>
      </c>
      <c r="Z4">
        <v>0</v>
      </c>
      <c r="AA4">
        <v>2</v>
      </c>
      <c r="AC4">
        <v>19</v>
      </c>
    </row>
    <row r="5" spans="1:32" hidden="1" x14ac:dyDescent="0.25">
      <c r="A5">
        <v>105945436</v>
      </c>
      <c r="B5">
        <v>2026777600</v>
      </c>
      <c r="C5">
        <v>10</v>
      </c>
      <c r="E5" t="s">
        <v>10</v>
      </c>
      <c r="F5" t="s">
        <v>216</v>
      </c>
      <c r="G5">
        <v>4</v>
      </c>
      <c r="H5">
        <v>16</v>
      </c>
      <c r="I5">
        <v>0</v>
      </c>
      <c r="J5">
        <v>4</v>
      </c>
      <c r="K5" t="s">
        <v>66</v>
      </c>
      <c r="L5" s="18">
        <v>0.71250000000000002</v>
      </c>
      <c r="M5" t="s">
        <v>77</v>
      </c>
      <c r="N5" s="18">
        <v>0.46250000000000002</v>
      </c>
      <c r="O5" t="s">
        <v>40</v>
      </c>
      <c r="P5" t="s">
        <v>14</v>
      </c>
      <c r="Q5" t="s">
        <v>13</v>
      </c>
      <c r="T5" s="18">
        <v>0</v>
      </c>
      <c r="W5" s="18">
        <v>0</v>
      </c>
      <c r="Y5">
        <v>0</v>
      </c>
      <c r="Z5">
        <v>0</v>
      </c>
      <c r="AA5">
        <v>2</v>
      </c>
      <c r="AB5" t="s">
        <v>20</v>
      </c>
      <c r="AC5">
        <v>18</v>
      </c>
    </row>
    <row r="6" spans="1:32" hidden="1" x14ac:dyDescent="0.25">
      <c r="A6">
        <v>133844745</v>
      </c>
      <c r="B6">
        <v>2027914281</v>
      </c>
      <c r="C6">
        <v>275</v>
      </c>
      <c r="E6" t="s">
        <v>10</v>
      </c>
      <c r="F6" t="s">
        <v>217</v>
      </c>
      <c r="G6">
        <v>4</v>
      </c>
      <c r="H6">
        <v>16</v>
      </c>
      <c r="I6">
        <v>0</v>
      </c>
      <c r="J6">
        <v>4</v>
      </c>
      <c r="K6" t="s">
        <v>68</v>
      </c>
      <c r="L6" s="18">
        <v>0.44583333333333336</v>
      </c>
      <c r="M6" t="s">
        <v>68</v>
      </c>
      <c r="N6" s="18">
        <v>0.62083333333333335</v>
      </c>
      <c r="O6" t="s">
        <v>41</v>
      </c>
      <c r="P6" t="s">
        <v>14</v>
      </c>
      <c r="Q6" t="s">
        <v>13</v>
      </c>
      <c r="T6" s="18">
        <v>0</v>
      </c>
      <c r="W6" s="18">
        <v>0</v>
      </c>
      <c r="Y6">
        <v>0</v>
      </c>
      <c r="Z6">
        <v>0</v>
      </c>
      <c r="AA6">
        <v>1</v>
      </c>
      <c r="AB6" t="s">
        <v>20</v>
      </c>
      <c r="AC6">
        <v>18</v>
      </c>
    </row>
    <row r="7" spans="1:32" hidden="1" x14ac:dyDescent="0.25">
      <c r="A7">
        <v>133844756</v>
      </c>
      <c r="B7">
        <v>2027914281</v>
      </c>
      <c r="C7">
        <v>300</v>
      </c>
      <c r="E7" t="s">
        <v>10</v>
      </c>
      <c r="F7" t="s">
        <v>218</v>
      </c>
      <c r="G7">
        <v>4</v>
      </c>
      <c r="H7">
        <v>16</v>
      </c>
      <c r="I7">
        <v>0</v>
      </c>
      <c r="J7">
        <v>4</v>
      </c>
      <c r="K7" t="s">
        <v>68</v>
      </c>
      <c r="L7" s="18">
        <v>0.44583333333333336</v>
      </c>
      <c r="M7" t="s">
        <v>68</v>
      </c>
      <c r="N7" s="18">
        <v>0.62083333333333335</v>
      </c>
      <c r="O7" t="s">
        <v>41</v>
      </c>
      <c r="P7" t="s">
        <v>14</v>
      </c>
      <c r="Q7" t="s">
        <v>13</v>
      </c>
      <c r="T7" s="18">
        <v>0</v>
      </c>
      <c r="W7" s="18">
        <v>0</v>
      </c>
      <c r="Y7">
        <v>0</v>
      </c>
      <c r="Z7">
        <v>0</v>
      </c>
      <c r="AA7">
        <v>1</v>
      </c>
      <c r="AB7" t="s">
        <v>20</v>
      </c>
      <c r="AC7">
        <v>18</v>
      </c>
    </row>
    <row r="8" spans="1:32" x14ac:dyDescent="0.25">
      <c r="A8">
        <v>114052334</v>
      </c>
      <c r="B8">
        <v>2028265715</v>
      </c>
      <c r="C8">
        <v>120</v>
      </c>
      <c r="E8" t="s">
        <v>10</v>
      </c>
      <c r="F8" t="s">
        <v>219</v>
      </c>
      <c r="G8">
        <v>8</v>
      </c>
      <c r="H8">
        <v>48</v>
      </c>
      <c r="I8">
        <v>13.1</v>
      </c>
      <c r="J8">
        <v>6</v>
      </c>
      <c r="K8" t="s">
        <v>68</v>
      </c>
      <c r="L8" s="18">
        <v>0.58750000000000002</v>
      </c>
      <c r="M8" t="s">
        <v>68</v>
      </c>
      <c r="N8" s="18">
        <v>0.72045138888888893</v>
      </c>
      <c r="O8" t="s">
        <v>40</v>
      </c>
      <c r="P8" t="s">
        <v>220</v>
      </c>
      <c r="Q8" t="s">
        <v>13</v>
      </c>
      <c r="T8" s="18">
        <v>0</v>
      </c>
      <c r="W8" s="18">
        <v>0</v>
      </c>
      <c r="Y8">
        <v>0</v>
      </c>
      <c r="Z8">
        <v>0</v>
      </c>
      <c r="AB8" t="s">
        <v>20</v>
      </c>
      <c r="AC8">
        <v>19</v>
      </c>
    </row>
    <row r="9" spans="1:32" x14ac:dyDescent="0.25">
      <c r="A9">
        <v>134596247</v>
      </c>
      <c r="B9">
        <v>2028265715</v>
      </c>
      <c r="C9">
        <v>141</v>
      </c>
      <c r="E9" t="s">
        <v>10</v>
      </c>
      <c r="F9" t="s">
        <v>221</v>
      </c>
      <c r="G9">
        <v>4</v>
      </c>
      <c r="H9">
        <v>24</v>
      </c>
      <c r="I9">
        <v>0</v>
      </c>
      <c r="J9">
        <v>6</v>
      </c>
      <c r="K9" t="s">
        <v>74</v>
      </c>
      <c r="L9" s="18">
        <v>0.38711805555555556</v>
      </c>
      <c r="M9" t="s">
        <v>74</v>
      </c>
      <c r="N9" s="18">
        <v>0.67878472222222219</v>
      </c>
      <c r="O9" t="s">
        <v>11</v>
      </c>
      <c r="P9" t="s">
        <v>14</v>
      </c>
      <c r="Q9" t="s">
        <v>13</v>
      </c>
      <c r="T9" s="18">
        <v>0</v>
      </c>
      <c r="W9" s="19">
        <v>0</v>
      </c>
      <c r="Y9">
        <v>0</v>
      </c>
      <c r="Z9">
        <v>0</v>
      </c>
      <c r="AB9" t="s">
        <v>20</v>
      </c>
      <c r="AC9">
        <v>19</v>
      </c>
    </row>
    <row r="10" spans="1:32" hidden="1" x14ac:dyDescent="0.25">
      <c r="A10">
        <v>116655735</v>
      </c>
      <c r="B10">
        <v>2028286018</v>
      </c>
      <c r="C10">
        <v>290</v>
      </c>
      <c r="E10" t="s">
        <v>10</v>
      </c>
      <c r="F10" t="s">
        <v>222</v>
      </c>
      <c r="G10">
        <v>4</v>
      </c>
      <c r="H10">
        <v>8</v>
      </c>
      <c r="I10">
        <v>0</v>
      </c>
      <c r="J10">
        <v>2</v>
      </c>
      <c r="K10" t="s">
        <v>68</v>
      </c>
      <c r="L10" s="18">
        <v>0.6875</v>
      </c>
      <c r="M10" t="s">
        <v>74</v>
      </c>
      <c r="N10" s="18">
        <v>0.33750000000000002</v>
      </c>
      <c r="O10" t="s">
        <v>40</v>
      </c>
      <c r="P10" t="s">
        <v>14</v>
      </c>
      <c r="Q10" t="s">
        <v>13</v>
      </c>
      <c r="T10" s="18">
        <v>0</v>
      </c>
      <c r="W10" s="19">
        <v>0</v>
      </c>
      <c r="Y10">
        <v>0</v>
      </c>
      <c r="Z10">
        <v>0</v>
      </c>
      <c r="AA10">
        <v>1</v>
      </c>
      <c r="AB10" t="s">
        <v>20</v>
      </c>
      <c r="AC10">
        <v>18</v>
      </c>
    </row>
    <row r="11" spans="1:32" hidden="1" x14ac:dyDescent="0.25">
      <c r="A11">
        <v>117101929</v>
      </c>
      <c r="B11">
        <v>2028493669</v>
      </c>
      <c r="C11">
        <v>15</v>
      </c>
      <c r="E11" t="s">
        <v>10</v>
      </c>
      <c r="F11" t="s">
        <v>223</v>
      </c>
      <c r="G11">
        <v>4</v>
      </c>
      <c r="H11">
        <v>16</v>
      </c>
      <c r="I11">
        <v>0</v>
      </c>
      <c r="J11">
        <v>4</v>
      </c>
      <c r="K11" t="s">
        <v>68</v>
      </c>
      <c r="L11" s="18">
        <v>0.3125</v>
      </c>
      <c r="M11" t="s">
        <v>68</v>
      </c>
      <c r="N11" s="18">
        <v>0.44583333333333336</v>
      </c>
      <c r="O11" t="s">
        <v>11</v>
      </c>
      <c r="P11" t="s">
        <v>14</v>
      </c>
      <c r="Q11" t="s">
        <v>13</v>
      </c>
      <c r="T11" s="18">
        <v>0</v>
      </c>
      <c r="W11" s="19">
        <v>0</v>
      </c>
      <c r="Y11">
        <v>0</v>
      </c>
      <c r="Z11">
        <v>0</v>
      </c>
      <c r="AA11">
        <v>1</v>
      </c>
      <c r="AB11" t="s">
        <v>20</v>
      </c>
      <c r="AC11">
        <v>18</v>
      </c>
    </row>
    <row r="12" spans="1:32" hidden="1" x14ac:dyDescent="0.25">
      <c r="A12">
        <v>132993858</v>
      </c>
      <c r="B12">
        <v>2028602605</v>
      </c>
      <c r="C12">
        <v>35</v>
      </c>
      <c r="E12" t="s">
        <v>10</v>
      </c>
      <c r="F12" t="s">
        <v>224</v>
      </c>
      <c r="G12">
        <v>4</v>
      </c>
      <c r="H12">
        <v>8</v>
      </c>
      <c r="I12">
        <v>0</v>
      </c>
      <c r="J12">
        <v>2</v>
      </c>
      <c r="K12" t="s">
        <v>68</v>
      </c>
      <c r="L12" s="18">
        <v>0.62083333333333335</v>
      </c>
      <c r="M12" t="s">
        <v>68</v>
      </c>
      <c r="N12" s="18">
        <v>0.6875</v>
      </c>
      <c r="O12" t="s">
        <v>41</v>
      </c>
      <c r="P12" t="s">
        <v>14</v>
      </c>
      <c r="Q12" t="s">
        <v>13</v>
      </c>
      <c r="T12" s="18">
        <v>0</v>
      </c>
      <c r="W12" s="19">
        <v>0</v>
      </c>
      <c r="Y12">
        <v>0</v>
      </c>
      <c r="Z12">
        <v>0</v>
      </c>
      <c r="AA12">
        <v>1</v>
      </c>
      <c r="AB12" t="s">
        <v>20</v>
      </c>
      <c r="AC12">
        <v>18</v>
      </c>
    </row>
    <row r="13" spans="1:32" x14ac:dyDescent="0.25">
      <c r="A13">
        <v>119630572</v>
      </c>
      <c r="B13">
        <v>2029164150</v>
      </c>
      <c r="C13">
        <v>110</v>
      </c>
      <c r="E13" t="s">
        <v>10</v>
      </c>
      <c r="F13" t="s">
        <v>225</v>
      </c>
      <c r="G13">
        <v>4</v>
      </c>
      <c r="H13">
        <v>20</v>
      </c>
      <c r="I13">
        <v>0</v>
      </c>
      <c r="J13">
        <v>5</v>
      </c>
      <c r="K13" t="s">
        <v>68</v>
      </c>
      <c r="L13" s="18">
        <v>0.3125</v>
      </c>
      <c r="M13" t="s">
        <v>68</v>
      </c>
      <c r="N13" s="18">
        <v>0.47916666666666669</v>
      </c>
      <c r="O13" t="s">
        <v>40</v>
      </c>
      <c r="P13" t="s">
        <v>12</v>
      </c>
      <c r="Q13" t="s">
        <v>13</v>
      </c>
      <c r="T13" s="18">
        <v>0</v>
      </c>
      <c r="W13" s="19">
        <v>0</v>
      </c>
      <c r="Y13">
        <v>0</v>
      </c>
      <c r="Z13">
        <v>0</v>
      </c>
      <c r="AA13">
        <v>1</v>
      </c>
      <c r="AC13">
        <v>19</v>
      </c>
    </row>
    <row r="14" spans="1:32" x14ac:dyDescent="0.25">
      <c r="A14">
        <v>119630574</v>
      </c>
      <c r="B14">
        <v>2029164150</v>
      </c>
      <c r="C14">
        <v>130</v>
      </c>
      <c r="E14" t="s">
        <v>10</v>
      </c>
      <c r="F14" t="s">
        <v>226</v>
      </c>
      <c r="G14">
        <v>4</v>
      </c>
      <c r="H14">
        <v>12</v>
      </c>
      <c r="I14">
        <v>0</v>
      </c>
      <c r="J14">
        <v>3</v>
      </c>
      <c r="K14" t="s">
        <v>74</v>
      </c>
      <c r="L14" s="18">
        <v>0.45416666666666666</v>
      </c>
      <c r="M14" t="s">
        <v>74</v>
      </c>
      <c r="N14" s="18">
        <v>0.59583333333333333</v>
      </c>
      <c r="O14" t="s">
        <v>40</v>
      </c>
      <c r="P14" t="s">
        <v>12</v>
      </c>
      <c r="Q14" t="s">
        <v>13</v>
      </c>
      <c r="T14" s="18">
        <v>0</v>
      </c>
      <c r="W14" s="18">
        <v>0</v>
      </c>
      <c r="Y14">
        <v>0</v>
      </c>
      <c r="Z14">
        <v>0</v>
      </c>
      <c r="AA14">
        <v>1</v>
      </c>
      <c r="AC14">
        <v>19</v>
      </c>
    </row>
    <row r="15" spans="1:32" x14ac:dyDescent="0.25">
      <c r="A15">
        <v>125733769</v>
      </c>
      <c r="B15">
        <v>2029286067</v>
      </c>
      <c r="C15">
        <v>50</v>
      </c>
      <c r="E15" t="s">
        <v>10</v>
      </c>
      <c r="F15" t="s">
        <v>227</v>
      </c>
      <c r="G15">
        <v>4</v>
      </c>
      <c r="H15">
        <v>16</v>
      </c>
      <c r="I15">
        <v>0</v>
      </c>
      <c r="J15">
        <v>4</v>
      </c>
      <c r="K15" t="s">
        <v>68</v>
      </c>
      <c r="L15" s="18">
        <v>0.3125</v>
      </c>
      <c r="M15" t="s">
        <v>68</v>
      </c>
      <c r="N15" s="18">
        <v>0.47916666666666669</v>
      </c>
      <c r="O15" t="s">
        <v>40</v>
      </c>
      <c r="P15" t="s">
        <v>14</v>
      </c>
      <c r="Q15" t="s">
        <v>13</v>
      </c>
      <c r="T15" s="18">
        <v>0</v>
      </c>
      <c r="W15" s="18">
        <v>0</v>
      </c>
      <c r="Y15">
        <v>0</v>
      </c>
      <c r="Z15">
        <v>0</v>
      </c>
      <c r="AA15">
        <v>2</v>
      </c>
      <c r="AB15" t="s">
        <v>20</v>
      </c>
      <c r="AC15">
        <v>19</v>
      </c>
    </row>
    <row r="16" spans="1:32" hidden="1" x14ac:dyDescent="0.25">
      <c r="A16">
        <v>121381330</v>
      </c>
      <c r="B16">
        <v>2029466654</v>
      </c>
      <c r="C16">
        <v>30</v>
      </c>
      <c r="E16" t="s">
        <v>10</v>
      </c>
      <c r="F16" t="s">
        <v>228</v>
      </c>
      <c r="G16">
        <v>4</v>
      </c>
      <c r="H16">
        <v>16</v>
      </c>
      <c r="I16">
        <v>0</v>
      </c>
      <c r="J16">
        <v>4</v>
      </c>
      <c r="K16" t="s">
        <v>68</v>
      </c>
      <c r="L16" s="18">
        <v>0</v>
      </c>
      <c r="M16" t="s">
        <v>68</v>
      </c>
      <c r="N16" s="18">
        <v>0.16666666666666666</v>
      </c>
      <c r="O16" t="s">
        <v>11</v>
      </c>
      <c r="P16" t="s">
        <v>14</v>
      </c>
      <c r="Q16" t="s">
        <v>13</v>
      </c>
      <c r="T16" s="18">
        <v>0</v>
      </c>
      <c r="W16" s="18">
        <v>0</v>
      </c>
      <c r="Y16">
        <v>0</v>
      </c>
      <c r="Z16">
        <v>0</v>
      </c>
      <c r="AA16">
        <v>2</v>
      </c>
      <c r="AB16" t="s">
        <v>20</v>
      </c>
      <c r="AC16">
        <v>18</v>
      </c>
    </row>
    <row r="17" spans="1:29" x14ac:dyDescent="0.25">
      <c r="A17">
        <v>129596780</v>
      </c>
      <c r="B17">
        <v>2029484416</v>
      </c>
      <c r="C17">
        <v>200</v>
      </c>
      <c r="E17" t="s">
        <v>10</v>
      </c>
      <c r="F17" t="s">
        <v>61</v>
      </c>
      <c r="G17">
        <v>4</v>
      </c>
      <c r="H17">
        <v>8</v>
      </c>
      <c r="I17">
        <v>0</v>
      </c>
      <c r="J17">
        <v>2</v>
      </c>
      <c r="K17" t="s">
        <v>68</v>
      </c>
      <c r="L17" s="18">
        <v>0</v>
      </c>
      <c r="M17" t="s">
        <v>68</v>
      </c>
      <c r="N17" s="18">
        <v>8.3333333333333329E-2</v>
      </c>
      <c r="O17" t="s">
        <v>19</v>
      </c>
      <c r="P17" t="s">
        <v>14</v>
      </c>
      <c r="Q17" t="s">
        <v>13</v>
      </c>
      <c r="T17" s="18">
        <v>0</v>
      </c>
      <c r="W17" s="18">
        <v>0</v>
      </c>
      <c r="Y17">
        <v>0</v>
      </c>
      <c r="Z17">
        <v>0</v>
      </c>
      <c r="AA17">
        <v>2</v>
      </c>
      <c r="AB17" t="s">
        <v>20</v>
      </c>
      <c r="AC17">
        <v>19</v>
      </c>
    </row>
    <row r="18" spans="1:29" x14ac:dyDescent="0.25">
      <c r="A18">
        <v>129596781</v>
      </c>
      <c r="B18">
        <v>2029484416</v>
      </c>
      <c r="C18">
        <v>210</v>
      </c>
      <c r="E18" t="s">
        <v>10</v>
      </c>
      <c r="F18" t="s">
        <v>62</v>
      </c>
      <c r="G18">
        <v>4</v>
      </c>
      <c r="H18">
        <v>16</v>
      </c>
      <c r="I18">
        <v>0</v>
      </c>
      <c r="J18">
        <v>4</v>
      </c>
      <c r="K18" t="s">
        <v>68</v>
      </c>
      <c r="L18" s="18">
        <v>0</v>
      </c>
      <c r="M18" t="s">
        <v>68</v>
      </c>
      <c r="N18" s="18">
        <v>0.16666666666666666</v>
      </c>
      <c r="O18" t="s">
        <v>19</v>
      </c>
      <c r="P18" t="s">
        <v>14</v>
      </c>
      <c r="Q18" t="s">
        <v>13</v>
      </c>
      <c r="T18" s="18">
        <v>0</v>
      </c>
      <c r="W18" s="18">
        <v>0</v>
      </c>
      <c r="Y18">
        <v>0</v>
      </c>
      <c r="Z18">
        <v>0</v>
      </c>
      <c r="AA18">
        <v>2</v>
      </c>
      <c r="AB18" t="s">
        <v>20</v>
      </c>
      <c r="AC18">
        <v>19</v>
      </c>
    </row>
    <row r="19" spans="1:29" x14ac:dyDescent="0.25">
      <c r="A19">
        <v>121735286</v>
      </c>
      <c r="B19">
        <v>2029508737</v>
      </c>
      <c r="C19">
        <v>120</v>
      </c>
      <c r="E19" t="s">
        <v>10</v>
      </c>
      <c r="F19" t="s">
        <v>229</v>
      </c>
      <c r="G19">
        <v>4</v>
      </c>
      <c r="H19">
        <v>8</v>
      </c>
      <c r="I19">
        <v>0</v>
      </c>
      <c r="J19">
        <v>2</v>
      </c>
      <c r="K19" t="s">
        <v>68</v>
      </c>
      <c r="L19" s="18">
        <v>0.47916666666666669</v>
      </c>
      <c r="M19" t="s">
        <v>68</v>
      </c>
      <c r="N19" s="18">
        <v>0.58750000000000002</v>
      </c>
      <c r="O19" t="s">
        <v>40</v>
      </c>
      <c r="P19" t="s">
        <v>14</v>
      </c>
      <c r="Q19" t="s">
        <v>13</v>
      </c>
      <c r="T19" s="18">
        <v>0</v>
      </c>
      <c r="W19" s="18">
        <v>0</v>
      </c>
      <c r="Y19">
        <v>0</v>
      </c>
      <c r="Z19">
        <v>0</v>
      </c>
      <c r="AA19">
        <v>2</v>
      </c>
      <c r="AB19" t="s">
        <v>20</v>
      </c>
      <c r="AC19">
        <v>19</v>
      </c>
    </row>
    <row r="20" spans="1:29" hidden="1" x14ac:dyDescent="0.25">
      <c r="A20">
        <v>123166995</v>
      </c>
      <c r="B20">
        <v>2029717491</v>
      </c>
      <c r="C20">
        <v>120</v>
      </c>
      <c r="E20" t="s">
        <v>10</v>
      </c>
      <c r="F20" t="s">
        <v>230</v>
      </c>
      <c r="G20">
        <v>4</v>
      </c>
      <c r="H20">
        <v>8</v>
      </c>
      <c r="I20">
        <v>0</v>
      </c>
      <c r="J20">
        <v>2</v>
      </c>
      <c r="K20" t="s">
        <v>74</v>
      </c>
      <c r="L20" s="18">
        <v>0.33750000000000002</v>
      </c>
      <c r="M20" t="s">
        <v>74</v>
      </c>
      <c r="N20" s="18">
        <v>0.40416666666666667</v>
      </c>
      <c r="O20" t="s">
        <v>19</v>
      </c>
      <c r="P20" t="s">
        <v>14</v>
      </c>
      <c r="Q20" t="s">
        <v>13</v>
      </c>
      <c r="T20" s="18">
        <v>0</v>
      </c>
      <c r="W20" s="18">
        <v>0</v>
      </c>
      <c r="Y20">
        <v>0</v>
      </c>
      <c r="Z20">
        <v>0</v>
      </c>
      <c r="AA20">
        <v>1</v>
      </c>
      <c r="AB20" t="s">
        <v>20</v>
      </c>
      <c r="AC20">
        <v>18</v>
      </c>
    </row>
    <row r="21" spans="1:29" x14ac:dyDescent="0.25">
      <c r="A21">
        <v>130294144</v>
      </c>
      <c r="B21">
        <v>2029732592</v>
      </c>
      <c r="C21">
        <v>217</v>
      </c>
      <c r="E21" t="s">
        <v>10</v>
      </c>
      <c r="F21" t="s">
        <v>231</v>
      </c>
      <c r="G21">
        <v>8</v>
      </c>
      <c r="H21">
        <v>32</v>
      </c>
      <c r="I21">
        <v>0</v>
      </c>
      <c r="J21">
        <v>4</v>
      </c>
      <c r="K21" t="s">
        <v>68</v>
      </c>
      <c r="L21" s="18">
        <v>0.72083333333333333</v>
      </c>
      <c r="M21" t="s">
        <v>74</v>
      </c>
      <c r="N21" s="18">
        <v>0.4375</v>
      </c>
      <c r="O21" t="s">
        <v>11</v>
      </c>
      <c r="P21" t="s">
        <v>12</v>
      </c>
      <c r="Q21" t="s">
        <v>13</v>
      </c>
      <c r="T21" s="18">
        <v>0</v>
      </c>
      <c r="W21" s="18">
        <v>0</v>
      </c>
      <c r="Y21">
        <v>0</v>
      </c>
      <c r="Z21">
        <v>0</v>
      </c>
      <c r="AA21">
        <v>1</v>
      </c>
      <c r="AB21" t="s">
        <v>20</v>
      </c>
      <c r="AC21">
        <v>19</v>
      </c>
    </row>
    <row r="22" spans="1:29" x14ac:dyDescent="0.25">
      <c r="A22">
        <v>130294145</v>
      </c>
      <c r="B22">
        <v>2029732592</v>
      </c>
      <c r="C22">
        <v>218</v>
      </c>
      <c r="E22" t="s">
        <v>10</v>
      </c>
      <c r="F22" t="s">
        <v>232</v>
      </c>
      <c r="G22">
        <v>8</v>
      </c>
      <c r="H22">
        <v>64</v>
      </c>
      <c r="I22">
        <v>0</v>
      </c>
      <c r="J22">
        <v>8</v>
      </c>
      <c r="K22" t="s">
        <v>74</v>
      </c>
      <c r="L22" s="18">
        <v>0.4375</v>
      </c>
      <c r="M22" t="s">
        <v>65</v>
      </c>
      <c r="N22" s="18">
        <v>0.32916666666666666</v>
      </c>
      <c r="O22" t="s">
        <v>11</v>
      </c>
      <c r="P22" t="s">
        <v>12</v>
      </c>
      <c r="Q22" t="s">
        <v>13</v>
      </c>
      <c r="T22" s="18">
        <v>0</v>
      </c>
      <c r="W22" s="18">
        <v>0</v>
      </c>
      <c r="Y22">
        <v>0</v>
      </c>
      <c r="Z22">
        <v>0</v>
      </c>
      <c r="AA22">
        <v>1</v>
      </c>
      <c r="AB22" t="s">
        <v>20</v>
      </c>
      <c r="AC22">
        <v>19</v>
      </c>
    </row>
    <row r="23" spans="1:29" x14ac:dyDescent="0.25">
      <c r="A23">
        <v>130294147</v>
      </c>
      <c r="B23">
        <v>2029732592</v>
      </c>
      <c r="C23">
        <v>220</v>
      </c>
      <c r="E23" t="s">
        <v>10</v>
      </c>
      <c r="F23" t="s">
        <v>233</v>
      </c>
      <c r="G23">
        <v>8</v>
      </c>
      <c r="H23">
        <v>32</v>
      </c>
      <c r="I23">
        <v>0</v>
      </c>
      <c r="J23">
        <v>4</v>
      </c>
      <c r="K23" t="s">
        <v>65</v>
      </c>
      <c r="L23" s="18">
        <v>0.34583333333333333</v>
      </c>
      <c r="M23" t="s">
        <v>65</v>
      </c>
      <c r="N23" s="18">
        <v>0.47916666666666669</v>
      </c>
      <c r="O23" t="s">
        <v>11</v>
      </c>
      <c r="P23" t="s">
        <v>12</v>
      </c>
      <c r="Q23" t="s">
        <v>13</v>
      </c>
      <c r="T23" s="18">
        <v>0</v>
      </c>
      <c r="W23" s="18">
        <v>0</v>
      </c>
      <c r="Y23">
        <v>0</v>
      </c>
      <c r="Z23">
        <v>0</v>
      </c>
      <c r="AA23">
        <v>1</v>
      </c>
      <c r="AB23" t="s">
        <v>20</v>
      </c>
      <c r="AC23">
        <v>19</v>
      </c>
    </row>
    <row r="24" spans="1:29" x14ac:dyDescent="0.25">
      <c r="A24">
        <v>130294148</v>
      </c>
      <c r="B24">
        <v>2029732592</v>
      </c>
      <c r="C24">
        <v>221</v>
      </c>
      <c r="E24" t="s">
        <v>10</v>
      </c>
      <c r="F24" t="s">
        <v>234</v>
      </c>
      <c r="G24">
        <v>8</v>
      </c>
      <c r="H24">
        <v>64</v>
      </c>
      <c r="I24">
        <v>0</v>
      </c>
      <c r="J24">
        <v>8</v>
      </c>
      <c r="K24" t="s">
        <v>65</v>
      </c>
      <c r="L24" s="18">
        <v>0.47916666666666669</v>
      </c>
      <c r="M24" t="s">
        <v>66</v>
      </c>
      <c r="N24" s="18">
        <v>0.37083333333333335</v>
      </c>
      <c r="O24" t="s">
        <v>11</v>
      </c>
      <c r="P24" t="s">
        <v>12</v>
      </c>
      <c r="Q24" t="s">
        <v>13</v>
      </c>
      <c r="T24" s="18">
        <v>0</v>
      </c>
      <c r="W24" s="18">
        <v>0</v>
      </c>
      <c r="Y24">
        <v>0</v>
      </c>
      <c r="Z24">
        <v>0</v>
      </c>
      <c r="AA24">
        <v>1</v>
      </c>
      <c r="AB24" t="s">
        <v>20</v>
      </c>
      <c r="AC24">
        <v>19</v>
      </c>
    </row>
    <row r="25" spans="1:29" x14ac:dyDescent="0.25">
      <c r="A25">
        <v>130294150</v>
      </c>
      <c r="B25">
        <v>2029732592</v>
      </c>
      <c r="C25">
        <v>223</v>
      </c>
      <c r="E25" t="s">
        <v>10</v>
      </c>
      <c r="F25" t="s">
        <v>235</v>
      </c>
      <c r="G25">
        <v>8</v>
      </c>
      <c r="H25">
        <v>32</v>
      </c>
      <c r="I25">
        <v>0</v>
      </c>
      <c r="J25">
        <v>4</v>
      </c>
      <c r="K25" t="s">
        <v>66</v>
      </c>
      <c r="L25" s="18">
        <v>0.38750000000000001</v>
      </c>
      <c r="M25" t="s">
        <v>66</v>
      </c>
      <c r="N25" s="18">
        <v>0.5625</v>
      </c>
      <c r="O25" t="s">
        <v>11</v>
      </c>
      <c r="P25" t="s">
        <v>12</v>
      </c>
      <c r="Q25" t="s">
        <v>13</v>
      </c>
      <c r="T25" s="18">
        <v>0</v>
      </c>
      <c r="W25" s="18">
        <v>0</v>
      </c>
      <c r="Y25">
        <v>0</v>
      </c>
      <c r="Z25">
        <v>0</v>
      </c>
      <c r="AA25">
        <v>1</v>
      </c>
      <c r="AB25" t="s">
        <v>20</v>
      </c>
      <c r="AC25">
        <v>19</v>
      </c>
    </row>
    <row r="26" spans="1:29" x14ac:dyDescent="0.25">
      <c r="A26">
        <v>130294151</v>
      </c>
      <c r="B26">
        <v>2029732592</v>
      </c>
      <c r="C26">
        <v>224</v>
      </c>
      <c r="E26" t="s">
        <v>10</v>
      </c>
      <c r="F26" t="s">
        <v>236</v>
      </c>
      <c r="G26">
        <v>8</v>
      </c>
      <c r="H26">
        <v>64</v>
      </c>
      <c r="I26">
        <v>0</v>
      </c>
      <c r="J26">
        <v>8</v>
      </c>
      <c r="K26" t="s">
        <v>66</v>
      </c>
      <c r="L26" s="18">
        <v>0.5625</v>
      </c>
      <c r="M26" t="s">
        <v>77</v>
      </c>
      <c r="N26" s="18">
        <v>0.41249999999999998</v>
      </c>
      <c r="O26" t="s">
        <v>11</v>
      </c>
      <c r="P26" t="s">
        <v>12</v>
      </c>
      <c r="Q26" t="s">
        <v>13</v>
      </c>
      <c r="T26" s="18">
        <v>0</v>
      </c>
      <c r="W26" s="18">
        <v>0</v>
      </c>
      <c r="Y26">
        <v>0</v>
      </c>
      <c r="Z26">
        <v>0</v>
      </c>
      <c r="AA26">
        <v>1</v>
      </c>
      <c r="AB26" t="s">
        <v>20</v>
      </c>
      <c r="AC26">
        <v>19</v>
      </c>
    </row>
    <row r="27" spans="1:29" x14ac:dyDescent="0.25">
      <c r="A27">
        <v>130294153</v>
      </c>
      <c r="B27">
        <v>2029732592</v>
      </c>
      <c r="C27">
        <v>226</v>
      </c>
      <c r="E27" t="s">
        <v>10</v>
      </c>
      <c r="F27" t="s">
        <v>237</v>
      </c>
      <c r="G27">
        <v>8</v>
      </c>
      <c r="H27">
        <v>32</v>
      </c>
      <c r="I27">
        <v>0</v>
      </c>
      <c r="J27">
        <v>4</v>
      </c>
      <c r="K27" t="s">
        <v>77</v>
      </c>
      <c r="L27" s="18">
        <v>0.42916666666666664</v>
      </c>
      <c r="M27" t="s">
        <v>77</v>
      </c>
      <c r="N27" s="18">
        <v>0.60416666666666663</v>
      </c>
      <c r="O27" t="s">
        <v>11</v>
      </c>
      <c r="P27" t="s">
        <v>12</v>
      </c>
      <c r="Q27" t="s">
        <v>13</v>
      </c>
      <c r="T27" s="18">
        <v>0</v>
      </c>
      <c r="W27" s="18">
        <v>0</v>
      </c>
      <c r="Y27">
        <v>0</v>
      </c>
      <c r="Z27">
        <v>0</v>
      </c>
      <c r="AA27">
        <v>1</v>
      </c>
      <c r="AB27" t="s">
        <v>20</v>
      </c>
      <c r="AC27">
        <v>19</v>
      </c>
    </row>
    <row r="28" spans="1:29" x14ac:dyDescent="0.25">
      <c r="A28">
        <v>130294154</v>
      </c>
      <c r="B28">
        <v>2029732592</v>
      </c>
      <c r="C28">
        <v>227</v>
      </c>
      <c r="E28" t="s">
        <v>10</v>
      </c>
      <c r="F28" t="s">
        <v>238</v>
      </c>
      <c r="G28">
        <v>8</v>
      </c>
      <c r="H28">
        <v>64</v>
      </c>
      <c r="I28">
        <v>0</v>
      </c>
      <c r="J28">
        <v>8</v>
      </c>
      <c r="K28" t="s">
        <v>77</v>
      </c>
      <c r="L28" s="18">
        <v>0.60416666666666663</v>
      </c>
      <c r="M28" t="s">
        <v>79</v>
      </c>
      <c r="N28" s="18">
        <v>0.49583333333333335</v>
      </c>
      <c r="O28" t="s">
        <v>11</v>
      </c>
      <c r="P28" t="s">
        <v>12</v>
      </c>
      <c r="Q28" t="s">
        <v>13</v>
      </c>
      <c r="T28" s="18">
        <v>0</v>
      </c>
      <c r="W28" s="18">
        <v>0</v>
      </c>
      <c r="Y28">
        <v>0</v>
      </c>
      <c r="Z28">
        <v>0</v>
      </c>
      <c r="AA28">
        <v>1</v>
      </c>
      <c r="AB28" t="s">
        <v>20</v>
      </c>
      <c r="AC28">
        <v>19</v>
      </c>
    </row>
    <row r="29" spans="1:29" x14ac:dyDescent="0.25">
      <c r="A29">
        <v>125755039</v>
      </c>
      <c r="B29">
        <v>2029900061</v>
      </c>
      <c r="C29">
        <v>1040</v>
      </c>
      <c r="E29" t="s">
        <v>10</v>
      </c>
      <c r="F29" t="s">
        <v>239</v>
      </c>
      <c r="G29">
        <v>4</v>
      </c>
      <c r="H29">
        <v>16</v>
      </c>
      <c r="I29">
        <v>0</v>
      </c>
      <c r="J29">
        <v>4</v>
      </c>
      <c r="K29" t="s">
        <v>68</v>
      </c>
      <c r="L29" s="18">
        <v>0</v>
      </c>
      <c r="M29" t="s">
        <v>68</v>
      </c>
      <c r="N29" s="18">
        <v>0.16666666666666666</v>
      </c>
      <c r="O29" t="s">
        <v>40</v>
      </c>
      <c r="P29" t="s">
        <v>12</v>
      </c>
      <c r="Q29" t="s">
        <v>13</v>
      </c>
      <c r="T29" s="18">
        <v>0</v>
      </c>
      <c r="W29" s="18">
        <v>0</v>
      </c>
      <c r="Y29">
        <v>0</v>
      </c>
      <c r="Z29">
        <v>0</v>
      </c>
      <c r="AC29">
        <v>19</v>
      </c>
    </row>
    <row r="30" spans="1:29" x14ac:dyDescent="0.25">
      <c r="A30">
        <v>125099353</v>
      </c>
      <c r="B30">
        <v>2030079558</v>
      </c>
      <c r="C30">
        <v>10</v>
      </c>
      <c r="E30" t="s">
        <v>10</v>
      </c>
      <c r="F30" t="s">
        <v>240</v>
      </c>
      <c r="G30">
        <v>4</v>
      </c>
      <c r="H30">
        <v>16</v>
      </c>
      <c r="I30">
        <v>0</v>
      </c>
      <c r="J30">
        <v>4</v>
      </c>
      <c r="K30" t="s">
        <v>77</v>
      </c>
      <c r="L30" s="18">
        <v>0.3125</v>
      </c>
      <c r="M30" t="s">
        <v>77</v>
      </c>
      <c r="N30" s="18">
        <v>0.44583333333333336</v>
      </c>
      <c r="O30" t="s">
        <v>40</v>
      </c>
      <c r="P30" t="s">
        <v>14</v>
      </c>
      <c r="Q30" t="s">
        <v>13</v>
      </c>
      <c r="T30" s="18">
        <v>0</v>
      </c>
      <c r="W30" s="18">
        <v>1</v>
      </c>
      <c r="X30" t="s">
        <v>24</v>
      </c>
      <c r="Y30">
        <v>0</v>
      </c>
      <c r="Z30">
        <v>0</v>
      </c>
      <c r="AC30">
        <v>19</v>
      </c>
    </row>
    <row r="31" spans="1:29" x14ac:dyDescent="0.25">
      <c r="A31">
        <v>125099356</v>
      </c>
      <c r="B31">
        <v>2030079558</v>
      </c>
      <c r="C31">
        <v>30</v>
      </c>
      <c r="E31" t="s">
        <v>10</v>
      </c>
      <c r="F31" t="s">
        <v>241</v>
      </c>
      <c r="G31">
        <v>4</v>
      </c>
      <c r="H31">
        <v>12</v>
      </c>
      <c r="I31">
        <v>0</v>
      </c>
      <c r="J31">
        <v>3</v>
      </c>
      <c r="K31" t="s">
        <v>77</v>
      </c>
      <c r="L31" s="18">
        <v>0.63749999999999996</v>
      </c>
      <c r="M31" t="s">
        <v>79</v>
      </c>
      <c r="N31" s="18">
        <v>0.36249999999999999</v>
      </c>
      <c r="O31" t="s">
        <v>40</v>
      </c>
      <c r="P31" t="s">
        <v>14</v>
      </c>
      <c r="Q31" t="s">
        <v>13</v>
      </c>
      <c r="T31" s="18">
        <v>0</v>
      </c>
      <c r="W31" s="18">
        <v>1</v>
      </c>
      <c r="Y31">
        <v>0</v>
      </c>
      <c r="Z31">
        <v>0</v>
      </c>
      <c r="AC31">
        <v>19</v>
      </c>
    </row>
    <row r="32" spans="1:29" x14ac:dyDescent="0.25">
      <c r="A32">
        <v>126099599</v>
      </c>
      <c r="B32">
        <v>2030210738</v>
      </c>
      <c r="C32">
        <v>10</v>
      </c>
      <c r="E32" t="s">
        <v>10</v>
      </c>
      <c r="F32" t="s">
        <v>242</v>
      </c>
      <c r="G32">
        <v>4</v>
      </c>
      <c r="H32">
        <v>16</v>
      </c>
      <c r="I32">
        <v>0</v>
      </c>
      <c r="J32">
        <v>4</v>
      </c>
      <c r="K32" t="s">
        <v>65</v>
      </c>
      <c r="L32" s="18">
        <v>0.42083333333333334</v>
      </c>
      <c r="M32" t="s">
        <v>65</v>
      </c>
      <c r="N32" s="18">
        <v>0.59583333333333333</v>
      </c>
      <c r="O32" t="s">
        <v>40</v>
      </c>
      <c r="P32" t="s">
        <v>14</v>
      </c>
      <c r="Q32" t="s">
        <v>13</v>
      </c>
      <c r="T32" s="18">
        <v>0</v>
      </c>
      <c r="W32" s="18">
        <v>0</v>
      </c>
      <c r="Y32">
        <v>0</v>
      </c>
      <c r="Z32">
        <v>0</v>
      </c>
      <c r="AB32" t="s">
        <v>20</v>
      </c>
      <c r="AC32">
        <v>19</v>
      </c>
    </row>
    <row r="33" spans="1:29" x14ac:dyDescent="0.25">
      <c r="A33">
        <v>127122542</v>
      </c>
      <c r="B33">
        <v>2030377954</v>
      </c>
      <c r="C33">
        <v>390</v>
      </c>
      <c r="E33" t="s">
        <v>10</v>
      </c>
      <c r="F33" t="s">
        <v>243</v>
      </c>
      <c r="G33">
        <v>4</v>
      </c>
      <c r="H33">
        <v>32</v>
      </c>
      <c r="I33">
        <v>0</v>
      </c>
      <c r="J33">
        <v>8</v>
      </c>
      <c r="K33" t="s">
        <v>68</v>
      </c>
      <c r="L33" s="18">
        <v>0</v>
      </c>
      <c r="M33" t="s">
        <v>68</v>
      </c>
      <c r="N33" s="18">
        <v>0.33333333333333331</v>
      </c>
      <c r="O33" t="s">
        <v>19</v>
      </c>
      <c r="P33" t="s">
        <v>14</v>
      </c>
      <c r="Q33" t="s">
        <v>13</v>
      </c>
      <c r="T33" s="18">
        <v>0</v>
      </c>
      <c r="W33" s="18">
        <v>0</v>
      </c>
      <c r="Y33">
        <v>0</v>
      </c>
      <c r="Z33">
        <v>0</v>
      </c>
      <c r="AB33" t="s">
        <v>20</v>
      </c>
      <c r="AC33">
        <v>19</v>
      </c>
    </row>
    <row r="34" spans="1:29" hidden="1" x14ac:dyDescent="0.25">
      <c r="A34">
        <v>128146277</v>
      </c>
      <c r="B34">
        <v>2030381392</v>
      </c>
      <c r="C34">
        <v>10</v>
      </c>
      <c r="E34" t="s">
        <v>10</v>
      </c>
      <c r="F34" t="s">
        <v>244</v>
      </c>
      <c r="G34">
        <v>4</v>
      </c>
      <c r="H34">
        <v>24</v>
      </c>
      <c r="I34">
        <v>0</v>
      </c>
      <c r="J34">
        <v>6</v>
      </c>
      <c r="K34" t="s">
        <v>65</v>
      </c>
      <c r="L34" s="18">
        <v>0.66749999999999998</v>
      </c>
      <c r="M34" t="s">
        <v>66</v>
      </c>
      <c r="N34" s="18">
        <v>0.45083333333333331</v>
      </c>
      <c r="O34" t="s">
        <v>40</v>
      </c>
      <c r="P34" t="s">
        <v>14</v>
      </c>
      <c r="Q34" t="s">
        <v>13</v>
      </c>
      <c r="T34" s="18">
        <v>0</v>
      </c>
      <c r="W34" s="19">
        <v>0</v>
      </c>
      <c r="Y34">
        <v>0</v>
      </c>
      <c r="Z34">
        <v>0</v>
      </c>
      <c r="AA34">
        <v>1</v>
      </c>
      <c r="AB34" t="s">
        <v>20</v>
      </c>
      <c r="AC34">
        <v>18</v>
      </c>
    </row>
    <row r="35" spans="1:29" hidden="1" x14ac:dyDescent="0.25">
      <c r="A35">
        <v>127232888</v>
      </c>
      <c r="B35">
        <v>2030402239</v>
      </c>
      <c r="C35">
        <v>10</v>
      </c>
      <c r="E35" t="s">
        <v>10</v>
      </c>
      <c r="F35" t="s">
        <v>245</v>
      </c>
      <c r="G35">
        <v>4</v>
      </c>
      <c r="H35">
        <v>8</v>
      </c>
      <c r="I35">
        <v>0</v>
      </c>
      <c r="J35">
        <v>2</v>
      </c>
      <c r="K35" t="s">
        <v>68</v>
      </c>
      <c r="L35" s="18">
        <v>0.3125</v>
      </c>
      <c r="M35" t="s">
        <v>68</v>
      </c>
      <c r="N35" s="18">
        <v>0.39583333333333331</v>
      </c>
      <c r="O35" t="s">
        <v>40</v>
      </c>
      <c r="P35" t="s">
        <v>14</v>
      </c>
      <c r="Q35" t="s">
        <v>13</v>
      </c>
      <c r="T35" s="18">
        <v>0</v>
      </c>
      <c r="W35" s="18">
        <v>0</v>
      </c>
      <c r="Y35">
        <v>0</v>
      </c>
      <c r="Z35">
        <v>0</v>
      </c>
      <c r="AA35">
        <v>2</v>
      </c>
      <c r="AB35" t="s">
        <v>20</v>
      </c>
      <c r="AC35">
        <v>18</v>
      </c>
    </row>
    <row r="36" spans="1:29" hidden="1" x14ac:dyDescent="0.25">
      <c r="A36">
        <v>127359074</v>
      </c>
      <c r="B36">
        <v>2030402239</v>
      </c>
      <c r="C36">
        <v>15</v>
      </c>
      <c r="E36" t="s">
        <v>10</v>
      </c>
      <c r="F36" t="s">
        <v>246</v>
      </c>
      <c r="G36">
        <v>4</v>
      </c>
      <c r="H36">
        <v>8</v>
      </c>
      <c r="I36">
        <v>0</v>
      </c>
      <c r="J36">
        <v>2</v>
      </c>
      <c r="K36" t="s">
        <v>68</v>
      </c>
      <c r="L36" s="18">
        <v>0.39583333333333331</v>
      </c>
      <c r="M36" t="s">
        <v>68</v>
      </c>
      <c r="N36" s="18">
        <v>0.47916666666666669</v>
      </c>
      <c r="O36" t="s">
        <v>40</v>
      </c>
      <c r="P36" t="s">
        <v>14</v>
      </c>
      <c r="Q36" t="s">
        <v>13</v>
      </c>
      <c r="T36" s="18">
        <v>0</v>
      </c>
      <c r="W36" s="18">
        <v>0</v>
      </c>
      <c r="Y36">
        <v>0</v>
      </c>
      <c r="Z36">
        <v>0</v>
      </c>
      <c r="AA36">
        <v>2</v>
      </c>
      <c r="AB36" t="s">
        <v>20</v>
      </c>
      <c r="AC36">
        <v>18</v>
      </c>
    </row>
    <row r="37" spans="1:29" hidden="1" x14ac:dyDescent="0.25">
      <c r="A37">
        <v>127365061</v>
      </c>
      <c r="B37">
        <v>2030402573</v>
      </c>
      <c r="C37">
        <v>310</v>
      </c>
      <c r="E37" t="s">
        <v>10</v>
      </c>
      <c r="F37" t="s">
        <v>247</v>
      </c>
      <c r="G37">
        <v>4</v>
      </c>
      <c r="H37">
        <v>8</v>
      </c>
      <c r="I37">
        <v>0</v>
      </c>
      <c r="J37">
        <v>2</v>
      </c>
      <c r="K37" t="s">
        <v>65</v>
      </c>
      <c r="L37" s="18">
        <v>0.43583333333333335</v>
      </c>
      <c r="M37" t="s">
        <v>65</v>
      </c>
      <c r="N37" s="18">
        <v>0.54416666666666669</v>
      </c>
      <c r="O37" t="s">
        <v>11</v>
      </c>
      <c r="P37" t="s">
        <v>14</v>
      </c>
      <c r="Q37" t="s">
        <v>13</v>
      </c>
      <c r="T37" s="18">
        <v>0</v>
      </c>
      <c r="W37" s="18">
        <v>0</v>
      </c>
      <c r="Y37">
        <v>0</v>
      </c>
      <c r="Z37">
        <v>0</v>
      </c>
      <c r="AA37">
        <v>2</v>
      </c>
      <c r="AB37" t="s">
        <v>20</v>
      </c>
      <c r="AC37">
        <v>18</v>
      </c>
    </row>
    <row r="38" spans="1:29" hidden="1" x14ac:dyDescent="0.25">
      <c r="A38">
        <v>128103967</v>
      </c>
      <c r="B38">
        <v>2030543381</v>
      </c>
      <c r="C38">
        <v>120</v>
      </c>
      <c r="E38" t="s">
        <v>10</v>
      </c>
      <c r="F38" t="s">
        <v>248</v>
      </c>
      <c r="G38">
        <v>4</v>
      </c>
      <c r="H38">
        <v>8</v>
      </c>
      <c r="I38">
        <v>0</v>
      </c>
      <c r="J38">
        <v>2</v>
      </c>
      <c r="K38" t="s">
        <v>68</v>
      </c>
      <c r="L38" s="18">
        <v>0.58750000000000002</v>
      </c>
      <c r="M38" t="s">
        <v>68</v>
      </c>
      <c r="N38" s="18">
        <v>0.65416666666666667</v>
      </c>
      <c r="O38" t="s">
        <v>40</v>
      </c>
      <c r="P38" t="s">
        <v>14</v>
      </c>
      <c r="Q38" t="s">
        <v>13</v>
      </c>
      <c r="T38" s="18">
        <v>0</v>
      </c>
      <c r="W38" s="19">
        <v>0</v>
      </c>
      <c r="Y38">
        <v>0</v>
      </c>
      <c r="Z38">
        <v>0</v>
      </c>
      <c r="AA38">
        <v>2</v>
      </c>
      <c r="AB38" t="s">
        <v>20</v>
      </c>
      <c r="AC38">
        <v>18</v>
      </c>
    </row>
    <row r="39" spans="1:29" x14ac:dyDescent="0.25">
      <c r="A39">
        <v>130878506</v>
      </c>
      <c r="B39">
        <v>2030822754</v>
      </c>
      <c r="C39">
        <v>50</v>
      </c>
      <c r="E39" t="s">
        <v>10</v>
      </c>
      <c r="F39" t="s">
        <v>249</v>
      </c>
      <c r="G39">
        <v>4</v>
      </c>
      <c r="H39">
        <v>8</v>
      </c>
      <c r="I39">
        <v>0</v>
      </c>
      <c r="J39">
        <v>2</v>
      </c>
      <c r="K39" t="s">
        <v>74</v>
      </c>
      <c r="L39" s="18">
        <v>0.42083333333333334</v>
      </c>
      <c r="M39" t="s">
        <v>74</v>
      </c>
      <c r="N39" s="18">
        <v>0.48749999999999999</v>
      </c>
      <c r="O39" t="s">
        <v>19</v>
      </c>
      <c r="P39" t="s">
        <v>14</v>
      </c>
      <c r="Q39" t="s">
        <v>13</v>
      </c>
      <c r="T39" s="18">
        <v>0</v>
      </c>
      <c r="W39" s="18">
        <v>0</v>
      </c>
      <c r="Y39">
        <v>0</v>
      </c>
      <c r="Z39">
        <v>0</v>
      </c>
      <c r="AC39">
        <v>19</v>
      </c>
    </row>
    <row r="40" spans="1:29" x14ac:dyDescent="0.25">
      <c r="A40">
        <v>130878511</v>
      </c>
      <c r="B40">
        <v>2030822754</v>
      </c>
      <c r="C40">
        <v>65</v>
      </c>
      <c r="E40" t="s">
        <v>10</v>
      </c>
      <c r="F40" t="s">
        <v>250</v>
      </c>
      <c r="G40">
        <v>4</v>
      </c>
      <c r="H40">
        <v>4</v>
      </c>
      <c r="I40">
        <v>0</v>
      </c>
      <c r="J40">
        <v>1</v>
      </c>
      <c r="K40" t="s">
        <v>65</v>
      </c>
      <c r="L40" s="18">
        <v>0.32083333333333336</v>
      </c>
      <c r="M40" t="s">
        <v>65</v>
      </c>
      <c r="N40" s="18">
        <v>0.35416666666666669</v>
      </c>
      <c r="O40" t="s">
        <v>40</v>
      </c>
      <c r="P40" t="s">
        <v>14</v>
      </c>
      <c r="Q40" t="s">
        <v>13</v>
      </c>
      <c r="T40" s="18">
        <v>0</v>
      </c>
      <c r="W40" s="18">
        <v>0</v>
      </c>
      <c r="Y40">
        <v>0</v>
      </c>
      <c r="Z40">
        <v>0</v>
      </c>
      <c r="AC40">
        <v>19</v>
      </c>
    </row>
    <row r="41" spans="1:29" x14ac:dyDescent="0.25">
      <c r="A41">
        <v>130878509</v>
      </c>
      <c r="B41">
        <v>2030822754</v>
      </c>
      <c r="C41">
        <v>80</v>
      </c>
      <c r="E41" t="s">
        <v>10</v>
      </c>
      <c r="F41" t="s">
        <v>251</v>
      </c>
      <c r="G41">
        <v>4</v>
      </c>
      <c r="H41">
        <v>4</v>
      </c>
      <c r="I41">
        <v>0</v>
      </c>
      <c r="J41">
        <v>1</v>
      </c>
      <c r="K41" t="s">
        <v>65</v>
      </c>
      <c r="L41" s="18">
        <v>0.38750000000000001</v>
      </c>
      <c r="M41" t="s">
        <v>65</v>
      </c>
      <c r="N41" s="18">
        <v>0.42083333333333334</v>
      </c>
      <c r="O41" t="s">
        <v>40</v>
      </c>
      <c r="P41" t="s">
        <v>14</v>
      </c>
      <c r="Q41" t="s">
        <v>13</v>
      </c>
      <c r="T41" s="18">
        <v>0</v>
      </c>
      <c r="W41" s="18">
        <v>0</v>
      </c>
      <c r="Y41">
        <v>0</v>
      </c>
      <c r="Z41">
        <v>0</v>
      </c>
      <c r="AC41">
        <v>19</v>
      </c>
    </row>
    <row r="42" spans="1:29" x14ac:dyDescent="0.25">
      <c r="A42">
        <v>130878512</v>
      </c>
      <c r="B42">
        <v>2030822754</v>
      </c>
      <c r="C42">
        <v>100</v>
      </c>
      <c r="E42" t="s">
        <v>10</v>
      </c>
      <c r="F42" t="s">
        <v>252</v>
      </c>
      <c r="G42">
        <v>4</v>
      </c>
      <c r="H42">
        <v>4</v>
      </c>
      <c r="I42">
        <v>0</v>
      </c>
      <c r="J42">
        <v>1</v>
      </c>
      <c r="K42" t="s">
        <v>65</v>
      </c>
      <c r="L42" s="18">
        <v>0.48749999999999999</v>
      </c>
      <c r="M42" t="s">
        <v>65</v>
      </c>
      <c r="N42" s="18">
        <v>0.5625</v>
      </c>
      <c r="O42" t="s">
        <v>40</v>
      </c>
      <c r="P42" t="s">
        <v>14</v>
      </c>
      <c r="Q42" t="s">
        <v>13</v>
      </c>
      <c r="T42" s="18">
        <v>0</v>
      </c>
      <c r="W42" s="18">
        <v>0</v>
      </c>
      <c r="Y42">
        <v>0</v>
      </c>
      <c r="Z42">
        <v>0</v>
      </c>
      <c r="AC42">
        <v>19</v>
      </c>
    </row>
    <row r="43" spans="1:29" x14ac:dyDescent="0.25">
      <c r="A43">
        <v>130487023</v>
      </c>
      <c r="B43">
        <v>2030910958</v>
      </c>
      <c r="C43">
        <v>50</v>
      </c>
      <c r="E43" t="s">
        <v>10</v>
      </c>
      <c r="F43" t="s">
        <v>253</v>
      </c>
      <c r="G43">
        <v>4</v>
      </c>
      <c r="H43">
        <v>8</v>
      </c>
      <c r="I43">
        <v>0</v>
      </c>
      <c r="J43">
        <v>2</v>
      </c>
      <c r="K43" t="s">
        <v>68</v>
      </c>
      <c r="L43" s="18">
        <v>0.37916666666666665</v>
      </c>
      <c r="M43" t="s">
        <v>68</v>
      </c>
      <c r="N43" s="18">
        <v>0.44583333333333336</v>
      </c>
      <c r="O43" t="s">
        <v>11</v>
      </c>
      <c r="P43" t="s">
        <v>14</v>
      </c>
      <c r="Q43" t="s">
        <v>13</v>
      </c>
      <c r="T43" s="18">
        <v>0</v>
      </c>
      <c r="W43" s="18">
        <v>0</v>
      </c>
      <c r="Y43">
        <v>0</v>
      </c>
      <c r="Z43">
        <v>0</v>
      </c>
      <c r="AA43">
        <v>1</v>
      </c>
      <c r="AB43" t="s">
        <v>20</v>
      </c>
      <c r="AC43">
        <v>19</v>
      </c>
    </row>
    <row r="44" spans="1:29" x14ac:dyDescent="0.25">
      <c r="A44">
        <v>130715419</v>
      </c>
      <c r="B44">
        <v>2030944321</v>
      </c>
      <c r="C44">
        <v>80</v>
      </c>
      <c r="E44" t="s">
        <v>10</v>
      </c>
      <c r="F44" t="s">
        <v>254</v>
      </c>
      <c r="G44">
        <v>4</v>
      </c>
      <c r="H44">
        <v>8</v>
      </c>
      <c r="I44">
        <v>0</v>
      </c>
      <c r="J44">
        <v>2</v>
      </c>
      <c r="K44" t="s">
        <v>68</v>
      </c>
      <c r="L44" s="18">
        <v>0.41249999999999998</v>
      </c>
      <c r="M44" t="s">
        <v>68</v>
      </c>
      <c r="N44" s="18">
        <v>0.47916666666666669</v>
      </c>
      <c r="O44" t="s">
        <v>11</v>
      </c>
      <c r="P44" t="s">
        <v>14</v>
      </c>
      <c r="Q44" t="s">
        <v>13</v>
      </c>
      <c r="T44" s="18">
        <v>0</v>
      </c>
      <c r="W44" s="18">
        <v>0</v>
      </c>
      <c r="Y44">
        <v>0</v>
      </c>
      <c r="Z44">
        <v>0</v>
      </c>
      <c r="AA44">
        <v>1</v>
      </c>
      <c r="AB44" t="s">
        <v>20</v>
      </c>
      <c r="AC44">
        <v>19</v>
      </c>
    </row>
    <row r="45" spans="1:29" hidden="1" x14ac:dyDescent="0.25">
      <c r="A45">
        <v>131437220</v>
      </c>
      <c r="B45">
        <v>2031021354</v>
      </c>
      <c r="C45">
        <v>10</v>
      </c>
      <c r="E45" t="s">
        <v>10</v>
      </c>
      <c r="F45" t="s">
        <v>255</v>
      </c>
      <c r="G45">
        <v>4</v>
      </c>
      <c r="H45">
        <v>16</v>
      </c>
      <c r="I45">
        <v>0</v>
      </c>
      <c r="J45">
        <v>4</v>
      </c>
      <c r="K45" t="s">
        <v>65</v>
      </c>
      <c r="L45" s="18">
        <v>0.6958333333333333</v>
      </c>
      <c r="M45" t="s">
        <v>66</v>
      </c>
      <c r="N45" s="18">
        <v>0.41249999999999998</v>
      </c>
      <c r="O45" t="s">
        <v>40</v>
      </c>
      <c r="P45" t="s">
        <v>14</v>
      </c>
      <c r="Q45" t="s">
        <v>13</v>
      </c>
      <c r="T45" s="18">
        <v>0</v>
      </c>
      <c r="W45" s="18">
        <v>0</v>
      </c>
      <c r="Y45">
        <v>0</v>
      </c>
      <c r="Z45">
        <v>0</v>
      </c>
      <c r="AA45">
        <v>1</v>
      </c>
      <c r="AB45" t="s">
        <v>20</v>
      </c>
      <c r="AC45">
        <v>18</v>
      </c>
    </row>
    <row r="46" spans="1:29" x14ac:dyDescent="0.25">
      <c r="A46">
        <v>132115133</v>
      </c>
      <c r="B46">
        <v>2031111332</v>
      </c>
      <c r="C46">
        <v>10</v>
      </c>
      <c r="E46" t="s">
        <v>10</v>
      </c>
      <c r="F46" t="s">
        <v>256</v>
      </c>
      <c r="G46">
        <v>4</v>
      </c>
      <c r="H46">
        <v>16</v>
      </c>
      <c r="I46">
        <v>0</v>
      </c>
      <c r="J46">
        <v>4</v>
      </c>
      <c r="K46" t="s">
        <v>66</v>
      </c>
      <c r="L46" s="18">
        <v>0.41249999999999998</v>
      </c>
      <c r="M46" t="s">
        <v>66</v>
      </c>
      <c r="N46" s="18">
        <v>0.58750000000000002</v>
      </c>
      <c r="O46" t="s">
        <v>40</v>
      </c>
      <c r="P46" t="s">
        <v>14</v>
      </c>
      <c r="Q46" t="s">
        <v>13</v>
      </c>
      <c r="T46" s="18">
        <v>0</v>
      </c>
      <c r="W46" s="18">
        <v>0</v>
      </c>
      <c r="Y46">
        <v>0</v>
      </c>
      <c r="Z46">
        <v>0</v>
      </c>
      <c r="AB46" t="s">
        <v>20</v>
      </c>
      <c r="AC46">
        <v>19</v>
      </c>
    </row>
    <row r="47" spans="1:29" hidden="1" x14ac:dyDescent="0.25">
      <c r="A47">
        <v>132389361</v>
      </c>
      <c r="B47">
        <v>2031127377</v>
      </c>
      <c r="C47">
        <v>5</v>
      </c>
      <c r="E47" t="s">
        <v>10</v>
      </c>
      <c r="F47" t="s">
        <v>257</v>
      </c>
      <c r="G47">
        <v>4</v>
      </c>
      <c r="H47">
        <v>16</v>
      </c>
      <c r="I47">
        <v>0</v>
      </c>
      <c r="J47">
        <v>4</v>
      </c>
      <c r="K47" t="s">
        <v>66</v>
      </c>
      <c r="L47" s="18">
        <v>0.59250000000000003</v>
      </c>
      <c r="M47" t="s">
        <v>66</v>
      </c>
      <c r="N47" s="18">
        <v>0.72583333333333333</v>
      </c>
      <c r="O47" t="s">
        <v>40</v>
      </c>
      <c r="P47" t="s">
        <v>14</v>
      </c>
      <c r="Q47" t="s">
        <v>13</v>
      </c>
      <c r="T47" s="18">
        <v>0</v>
      </c>
      <c r="W47" s="18">
        <v>0</v>
      </c>
      <c r="Y47">
        <v>0</v>
      </c>
      <c r="Z47">
        <v>0</v>
      </c>
      <c r="AA47">
        <v>1</v>
      </c>
      <c r="AB47" t="s">
        <v>20</v>
      </c>
      <c r="AC47">
        <v>18</v>
      </c>
    </row>
    <row r="48" spans="1:29" x14ac:dyDescent="0.25">
      <c r="A48">
        <v>132684476</v>
      </c>
      <c r="B48">
        <v>2031202781</v>
      </c>
      <c r="C48">
        <v>10</v>
      </c>
      <c r="E48" t="s">
        <v>10</v>
      </c>
      <c r="F48" t="s">
        <v>258</v>
      </c>
      <c r="G48">
        <v>4</v>
      </c>
      <c r="H48">
        <v>16</v>
      </c>
      <c r="I48">
        <v>0</v>
      </c>
      <c r="J48">
        <v>4</v>
      </c>
      <c r="K48" t="s">
        <v>65</v>
      </c>
      <c r="L48" s="18">
        <v>0.5625</v>
      </c>
      <c r="M48" t="s">
        <v>65</v>
      </c>
      <c r="N48" s="18">
        <v>0.6958333333333333</v>
      </c>
      <c r="O48" t="s">
        <v>11</v>
      </c>
      <c r="P48" t="s">
        <v>14</v>
      </c>
      <c r="Q48" t="s">
        <v>13</v>
      </c>
      <c r="T48" s="18">
        <v>0</v>
      </c>
      <c r="W48" s="18">
        <v>0</v>
      </c>
      <c r="Y48">
        <v>0</v>
      </c>
      <c r="Z48">
        <v>0</v>
      </c>
      <c r="AA48">
        <v>2</v>
      </c>
      <c r="AB48" t="s">
        <v>20</v>
      </c>
      <c r="AC48">
        <v>19</v>
      </c>
    </row>
    <row r="49" spans="1:29" x14ac:dyDescent="0.25">
      <c r="A49">
        <v>133267902</v>
      </c>
      <c r="B49">
        <v>2031202781</v>
      </c>
      <c r="C49">
        <v>65</v>
      </c>
      <c r="D49">
        <v>30</v>
      </c>
      <c r="E49" t="s">
        <v>10</v>
      </c>
      <c r="F49" t="s">
        <v>259</v>
      </c>
      <c r="G49">
        <v>2</v>
      </c>
      <c r="H49">
        <v>8</v>
      </c>
      <c r="I49">
        <v>0</v>
      </c>
      <c r="J49">
        <v>4</v>
      </c>
      <c r="K49" t="s">
        <v>77</v>
      </c>
      <c r="L49" s="18">
        <v>0.41249999999999998</v>
      </c>
      <c r="M49" t="s">
        <v>77</v>
      </c>
      <c r="N49" s="18">
        <v>0.58750000000000002</v>
      </c>
      <c r="O49" t="s">
        <v>11</v>
      </c>
      <c r="P49" t="s">
        <v>14</v>
      </c>
      <c r="Q49" t="s">
        <v>13</v>
      </c>
      <c r="T49" s="18">
        <v>0</v>
      </c>
      <c r="W49" s="18">
        <v>0</v>
      </c>
      <c r="Y49">
        <v>0</v>
      </c>
      <c r="Z49">
        <v>0</v>
      </c>
      <c r="AA49">
        <v>2</v>
      </c>
      <c r="AB49" t="s">
        <v>20</v>
      </c>
      <c r="AC49">
        <v>19</v>
      </c>
    </row>
    <row r="50" spans="1:29" x14ac:dyDescent="0.25">
      <c r="A50">
        <v>132917266</v>
      </c>
      <c r="B50">
        <v>2031202781</v>
      </c>
      <c r="C50">
        <v>60</v>
      </c>
      <c r="E50" t="s">
        <v>10</v>
      </c>
      <c r="F50" t="s">
        <v>260</v>
      </c>
      <c r="G50">
        <v>4</v>
      </c>
      <c r="H50">
        <v>8</v>
      </c>
      <c r="I50">
        <v>0</v>
      </c>
      <c r="J50">
        <v>2</v>
      </c>
      <c r="K50" t="s">
        <v>77</v>
      </c>
      <c r="L50" s="18">
        <v>0.34583333333333333</v>
      </c>
      <c r="M50" t="s">
        <v>77</v>
      </c>
      <c r="N50" s="18">
        <v>0.41249999999999998</v>
      </c>
      <c r="O50" t="s">
        <v>11</v>
      </c>
      <c r="P50" t="s">
        <v>14</v>
      </c>
      <c r="Q50" t="s">
        <v>13</v>
      </c>
      <c r="T50" s="18">
        <v>0</v>
      </c>
      <c r="W50" s="18">
        <v>0</v>
      </c>
      <c r="Y50">
        <v>0</v>
      </c>
      <c r="Z50">
        <v>0</v>
      </c>
      <c r="AA50">
        <v>2</v>
      </c>
      <c r="AB50" t="s">
        <v>20</v>
      </c>
      <c r="AC50">
        <v>19</v>
      </c>
    </row>
    <row r="51" spans="1:29" x14ac:dyDescent="0.25">
      <c r="A51">
        <v>132685325</v>
      </c>
      <c r="B51">
        <v>2031202862</v>
      </c>
      <c r="C51">
        <v>5</v>
      </c>
      <c r="E51" t="s">
        <v>10</v>
      </c>
      <c r="F51" t="s">
        <v>261</v>
      </c>
      <c r="G51">
        <v>4</v>
      </c>
      <c r="H51">
        <v>12</v>
      </c>
      <c r="I51">
        <v>0</v>
      </c>
      <c r="J51">
        <v>3</v>
      </c>
      <c r="K51" t="s">
        <v>68</v>
      </c>
      <c r="L51" s="18">
        <v>0.3125</v>
      </c>
      <c r="M51" t="s">
        <v>68</v>
      </c>
      <c r="N51" s="18">
        <v>0.41249999999999998</v>
      </c>
      <c r="O51" t="s">
        <v>40</v>
      </c>
      <c r="P51" t="s">
        <v>14</v>
      </c>
      <c r="Q51" t="s">
        <v>13</v>
      </c>
      <c r="T51" s="18">
        <v>0</v>
      </c>
      <c r="W51" s="19">
        <v>1</v>
      </c>
      <c r="Y51">
        <v>0</v>
      </c>
      <c r="Z51">
        <v>0</v>
      </c>
      <c r="AC51">
        <v>19</v>
      </c>
    </row>
    <row r="52" spans="1:29" x14ac:dyDescent="0.25">
      <c r="A52">
        <v>132685326</v>
      </c>
      <c r="B52">
        <v>2031202862</v>
      </c>
      <c r="C52">
        <v>90</v>
      </c>
      <c r="E52" t="s">
        <v>10</v>
      </c>
      <c r="F52" t="s">
        <v>262</v>
      </c>
      <c r="G52">
        <v>4</v>
      </c>
      <c r="H52">
        <v>6</v>
      </c>
      <c r="I52">
        <v>0</v>
      </c>
      <c r="J52">
        <v>1.5</v>
      </c>
      <c r="K52" t="s">
        <v>74</v>
      </c>
      <c r="L52" s="18">
        <v>0.6875</v>
      </c>
      <c r="M52" t="s">
        <v>65</v>
      </c>
      <c r="N52" s="18">
        <v>0.32083333333333336</v>
      </c>
      <c r="O52" t="s">
        <v>40</v>
      </c>
      <c r="P52" t="s">
        <v>14</v>
      </c>
      <c r="Q52" t="s">
        <v>13</v>
      </c>
      <c r="T52" s="18">
        <v>0</v>
      </c>
      <c r="W52" s="19">
        <v>1</v>
      </c>
      <c r="Y52">
        <v>0</v>
      </c>
      <c r="Z52">
        <v>0</v>
      </c>
      <c r="AC52">
        <v>19</v>
      </c>
    </row>
    <row r="53" spans="1:29" hidden="1" x14ac:dyDescent="0.25">
      <c r="A53">
        <v>132755673</v>
      </c>
      <c r="B53">
        <v>2031216118</v>
      </c>
      <c r="C53">
        <v>141</v>
      </c>
      <c r="E53" t="s">
        <v>10</v>
      </c>
      <c r="F53" t="s">
        <v>263</v>
      </c>
      <c r="G53">
        <v>4</v>
      </c>
      <c r="H53">
        <v>32</v>
      </c>
      <c r="I53">
        <v>5.7</v>
      </c>
      <c r="J53">
        <v>8</v>
      </c>
      <c r="K53" t="s">
        <v>68</v>
      </c>
      <c r="L53" s="18">
        <v>0</v>
      </c>
      <c r="M53" t="s">
        <v>68</v>
      </c>
      <c r="N53" s="18">
        <v>0.27422453703703703</v>
      </c>
      <c r="O53" t="s">
        <v>19</v>
      </c>
      <c r="P53" t="s">
        <v>264</v>
      </c>
      <c r="Q53" t="s">
        <v>13</v>
      </c>
      <c r="T53" s="18">
        <v>0</v>
      </c>
      <c r="W53" s="19">
        <v>0</v>
      </c>
      <c r="Y53">
        <v>0</v>
      </c>
      <c r="Z53">
        <v>0</v>
      </c>
      <c r="AA53">
        <v>1</v>
      </c>
      <c r="AB53" t="s">
        <v>20</v>
      </c>
      <c r="AC53">
        <v>18</v>
      </c>
    </row>
    <row r="54" spans="1:29" hidden="1" x14ac:dyDescent="0.25">
      <c r="A54">
        <v>133279867</v>
      </c>
      <c r="B54">
        <v>2031216118</v>
      </c>
      <c r="C54">
        <v>155</v>
      </c>
      <c r="E54" t="s">
        <v>10</v>
      </c>
      <c r="F54" t="s">
        <v>265</v>
      </c>
      <c r="G54">
        <v>6</v>
      </c>
      <c r="H54">
        <v>48</v>
      </c>
      <c r="I54">
        <v>0</v>
      </c>
      <c r="J54">
        <v>8</v>
      </c>
      <c r="K54" t="s">
        <v>68</v>
      </c>
      <c r="L54" s="18">
        <v>0.27422453703703703</v>
      </c>
      <c r="M54" t="s">
        <v>68</v>
      </c>
      <c r="N54" s="18">
        <v>0.60755787037037035</v>
      </c>
      <c r="O54" t="s">
        <v>11</v>
      </c>
      <c r="P54" t="s">
        <v>14</v>
      </c>
      <c r="Q54" t="s">
        <v>13</v>
      </c>
      <c r="T54" s="18">
        <v>0</v>
      </c>
      <c r="W54" s="19">
        <v>0</v>
      </c>
      <c r="Y54">
        <v>0</v>
      </c>
      <c r="Z54">
        <v>0</v>
      </c>
      <c r="AA54">
        <v>1</v>
      </c>
      <c r="AB54" t="s">
        <v>20</v>
      </c>
      <c r="AC54">
        <v>18</v>
      </c>
    </row>
    <row r="55" spans="1:29" x14ac:dyDescent="0.25">
      <c r="A55">
        <v>133107766</v>
      </c>
      <c r="B55">
        <v>2031240660</v>
      </c>
      <c r="C55">
        <v>370</v>
      </c>
      <c r="E55" t="s">
        <v>10</v>
      </c>
      <c r="F55" t="s">
        <v>266</v>
      </c>
      <c r="G55">
        <v>4</v>
      </c>
      <c r="H55">
        <v>8</v>
      </c>
      <c r="I55">
        <v>0</v>
      </c>
      <c r="J55">
        <v>2</v>
      </c>
      <c r="K55" t="s">
        <v>68</v>
      </c>
      <c r="L55" s="18">
        <v>0</v>
      </c>
      <c r="M55" t="s">
        <v>68</v>
      </c>
      <c r="N55" s="18">
        <v>8.3333333333333329E-2</v>
      </c>
      <c r="O55" t="s">
        <v>40</v>
      </c>
      <c r="P55" t="s">
        <v>14</v>
      </c>
      <c r="Q55" t="s">
        <v>13</v>
      </c>
      <c r="T55" s="18">
        <v>0</v>
      </c>
      <c r="W55" s="19">
        <v>0</v>
      </c>
      <c r="Y55">
        <v>0</v>
      </c>
      <c r="Z55">
        <v>0</v>
      </c>
      <c r="AA55">
        <v>2</v>
      </c>
      <c r="AB55" t="s">
        <v>20</v>
      </c>
      <c r="AC55">
        <v>19</v>
      </c>
    </row>
    <row r="56" spans="1:29" x14ac:dyDescent="0.25">
      <c r="A56">
        <v>133107779</v>
      </c>
      <c r="B56">
        <v>2031240660</v>
      </c>
      <c r="C56">
        <v>500</v>
      </c>
      <c r="E56" t="s">
        <v>10</v>
      </c>
      <c r="F56" t="s">
        <v>267</v>
      </c>
      <c r="G56">
        <v>4</v>
      </c>
      <c r="H56">
        <v>32</v>
      </c>
      <c r="I56">
        <v>0</v>
      </c>
      <c r="J56">
        <v>8</v>
      </c>
      <c r="K56" t="s">
        <v>68</v>
      </c>
      <c r="L56" s="18">
        <v>0</v>
      </c>
      <c r="M56" t="s">
        <v>68</v>
      </c>
      <c r="N56" s="18">
        <v>0.33333333333333331</v>
      </c>
      <c r="O56" t="s">
        <v>40</v>
      </c>
      <c r="P56" t="s">
        <v>14</v>
      </c>
      <c r="Q56" t="s">
        <v>13</v>
      </c>
      <c r="T56" s="18">
        <v>0</v>
      </c>
      <c r="W56" s="18">
        <v>0</v>
      </c>
      <c r="Y56">
        <v>0</v>
      </c>
      <c r="Z56">
        <v>0</v>
      </c>
      <c r="AA56">
        <v>2</v>
      </c>
      <c r="AB56" t="s">
        <v>20</v>
      </c>
      <c r="AC56">
        <v>19</v>
      </c>
    </row>
    <row r="57" spans="1:29" x14ac:dyDescent="0.25">
      <c r="A57">
        <v>133324392</v>
      </c>
      <c r="B57">
        <v>2031307547</v>
      </c>
      <c r="C57">
        <v>10</v>
      </c>
      <c r="E57" t="s">
        <v>10</v>
      </c>
      <c r="F57" t="s">
        <v>268</v>
      </c>
      <c r="G57">
        <v>4</v>
      </c>
      <c r="H57">
        <v>12</v>
      </c>
      <c r="I57">
        <v>0</v>
      </c>
      <c r="J57">
        <v>3</v>
      </c>
      <c r="K57" t="s">
        <v>74</v>
      </c>
      <c r="L57" s="18">
        <v>0.67878472222222219</v>
      </c>
      <c r="M57" t="s">
        <v>65</v>
      </c>
      <c r="N57" s="18">
        <v>0.38711805555555556</v>
      </c>
      <c r="O57" t="s">
        <v>11</v>
      </c>
      <c r="P57" t="s">
        <v>14</v>
      </c>
      <c r="Q57" t="s">
        <v>13</v>
      </c>
      <c r="T57" s="18">
        <v>0</v>
      </c>
      <c r="W57" s="18">
        <v>0</v>
      </c>
      <c r="Y57">
        <v>0</v>
      </c>
      <c r="Z57">
        <v>0</v>
      </c>
      <c r="AA57">
        <v>2</v>
      </c>
      <c r="AB57" t="s">
        <v>20</v>
      </c>
      <c r="AC57">
        <v>19</v>
      </c>
    </row>
    <row r="58" spans="1:29" x14ac:dyDescent="0.25">
      <c r="A58">
        <v>133433972</v>
      </c>
      <c r="B58">
        <v>2031307547</v>
      </c>
      <c r="C58">
        <v>30</v>
      </c>
      <c r="E58" t="s">
        <v>10</v>
      </c>
      <c r="F58" t="s">
        <v>269</v>
      </c>
      <c r="G58">
        <v>4</v>
      </c>
      <c r="H58">
        <v>12</v>
      </c>
      <c r="I58">
        <v>0</v>
      </c>
      <c r="J58">
        <v>3</v>
      </c>
      <c r="K58" t="s">
        <v>66</v>
      </c>
      <c r="L58" s="18">
        <v>0.64583333333333337</v>
      </c>
      <c r="M58" t="s">
        <v>77</v>
      </c>
      <c r="N58" s="18">
        <v>0.35416666666666669</v>
      </c>
      <c r="O58" t="s">
        <v>11</v>
      </c>
      <c r="P58" t="s">
        <v>14</v>
      </c>
      <c r="Q58" t="s">
        <v>13</v>
      </c>
      <c r="T58" s="18">
        <v>0</v>
      </c>
      <c r="W58" s="18">
        <v>0</v>
      </c>
      <c r="Y58">
        <v>0</v>
      </c>
      <c r="Z58">
        <v>0</v>
      </c>
      <c r="AA58">
        <v>2</v>
      </c>
      <c r="AB58" t="s">
        <v>20</v>
      </c>
      <c r="AC58">
        <v>19</v>
      </c>
    </row>
    <row r="59" spans="1:29" x14ac:dyDescent="0.25">
      <c r="A59">
        <v>133324393</v>
      </c>
      <c r="B59">
        <v>2031307548</v>
      </c>
      <c r="C59">
        <v>10</v>
      </c>
      <c r="E59" t="s">
        <v>10</v>
      </c>
      <c r="F59" t="s">
        <v>270</v>
      </c>
      <c r="G59">
        <v>4</v>
      </c>
      <c r="H59">
        <v>12</v>
      </c>
      <c r="I59">
        <v>0</v>
      </c>
      <c r="J59">
        <v>3</v>
      </c>
      <c r="K59" t="s">
        <v>65</v>
      </c>
      <c r="L59" s="18">
        <v>0.32916666666666666</v>
      </c>
      <c r="M59" t="s">
        <v>65</v>
      </c>
      <c r="N59" s="18">
        <v>0.45416666666666666</v>
      </c>
      <c r="O59" t="s">
        <v>11</v>
      </c>
      <c r="P59" t="s">
        <v>14</v>
      </c>
      <c r="Q59" t="s">
        <v>13</v>
      </c>
      <c r="T59" s="18">
        <v>0</v>
      </c>
      <c r="W59" s="18">
        <v>0</v>
      </c>
      <c r="Y59">
        <v>0</v>
      </c>
      <c r="Z59">
        <v>0</v>
      </c>
      <c r="AA59">
        <v>2</v>
      </c>
      <c r="AB59" t="s">
        <v>20</v>
      </c>
      <c r="AC59">
        <v>19</v>
      </c>
    </row>
    <row r="60" spans="1:29" x14ac:dyDescent="0.25">
      <c r="A60">
        <v>133433975</v>
      </c>
      <c r="B60">
        <v>2031307548</v>
      </c>
      <c r="C60">
        <v>30</v>
      </c>
      <c r="E60" t="s">
        <v>10</v>
      </c>
      <c r="F60" t="s">
        <v>271</v>
      </c>
      <c r="G60">
        <v>4</v>
      </c>
      <c r="H60">
        <v>8</v>
      </c>
      <c r="I60">
        <v>0</v>
      </c>
      <c r="J60">
        <v>2</v>
      </c>
      <c r="K60" t="s">
        <v>66</v>
      </c>
      <c r="L60" s="18">
        <v>0.6791666666666667</v>
      </c>
      <c r="M60" t="s">
        <v>77</v>
      </c>
      <c r="N60" s="18">
        <v>0.34583333333333333</v>
      </c>
      <c r="O60" t="s">
        <v>11</v>
      </c>
      <c r="P60" t="s">
        <v>14</v>
      </c>
      <c r="Q60" t="s">
        <v>13</v>
      </c>
      <c r="T60" s="18">
        <v>0</v>
      </c>
      <c r="W60" s="19">
        <v>0</v>
      </c>
      <c r="Y60">
        <v>0</v>
      </c>
      <c r="Z60">
        <v>0</v>
      </c>
      <c r="AA60">
        <v>2</v>
      </c>
      <c r="AB60" t="s">
        <v>20</v>
      </c>
      <c r="AC60">
        <v>19</v>
      </c>
    </row>
    <row r="61" spans="1:29" hidden="1" x14ac:dyDescent="0.25">
      <c r="A61">
        <v>133419327</v>
      </c>
      <c r="B61">
        <v>2031324293</v>
      </c>
      <c r="C61">
        <v>10</v>
      </c>
      <c r="E61" t="s">
        <v>10</v>
      </c>
      <c r="F61" t="s">
        <v>47</v>
      </c>
      <c r="G61">
        <v>4</v>
      </c>
      <c r="H61">
        <v>12</v>
      </c>
      <c r="I61">
        <v>0</v>
      </c>
      <c r="J61">
        <v>3</v>
      </c>
      <c r="K61" t="s">
        <v>74</v>
      </c>
      <c r="L61" s="18">
        <v>0.33750000000000002</v>
      </c>
      <c r="M61" t="s">
        <v>74</v>
      </c>
      <c r="N61" s="18">
        <v>0.4375</v>
      </c>
      <c r="O61" t="s">
        <v>19</v>
      </c>
      <c r="P61" t="s">
        <v>14</v>
      </c>
      <c r="Q61" t="s">
        <v>13</v>
      </c>
      <c r="T61" s="18">
        <v>0</v>
      </c>
      <c r="W61" s="19">
        <v>0</v>
      </c>
      <c r="Y61">
        <v>0</v>
      </c>
      <c r="Z61">
        <v>0</v>
      </c>
      <c r="AA61">
        <v>1</v>
      </c>
      <c r="AB61" t="s">
        <v>20</v>
      </c>
      <c r="AC61">
        <v>18</v>
      </c>
    </row>
    <row r="62" spans="1:29" hidden="1" x14ac:dyDescent="0.25">
      <c r="A62">
        <v>134620037</v>
      </c>
      <c r="B62">
        <v>2031324298</v>
      </c>
      <c r="C62">
        <v>310</v>
      </c>
      <c r="E62" t="s">
        <v>10</v>
      </c>
      <c r="F62" t="s">
        <v>272</v>
      </c>
      <c r="G62">
        <v>4</v>
      </c>
      <c r="H62">
        <v>32</v>
      </c>
      <c r="I62">
        <v>0</v>
      </c>
      <c r="J62">
        <v>8</v>
      </c>
      <c r="K62" t="s">
        <v>68</v>
      </c>
      <c r="L62" s="18">
        <v>0.44583333333333336</v>
      </c>
      <c r="M62" t="s">
        <v>74</v>
      </c>
      <c r="N62" s="18">
        <v>0.33750000000000002</v>
      </c>
      <c r="O62" t="s">
        <v>11</v>
      </c>
      <c r="P62" t="s">
        <v>14</v>
      </c>
      <c r="Q62" t="s">
        <v>13</v>
      </c>
      <c r="T62" s="18">
        <v>0</v>
      </c>
      <c r="W62" s="18">
        <v>0</v>
      </c>
      <c r="Y62">
        <v>0</v>
      </c>
      <c r="Z62">
        <v>0</v>
      </c>
      <c r="AA62">
        <v>2</v>
      </c>
      <c r="AB62" t="s">
        <v>43</v>
      </c>
      <c r="AC62">
        <v>14</v>
      </c>
    </row>
    <row r="63" spans="1:29" hidden="1" x14ac:dyDescent="0.25">
      <c r="A63">
        <v>134596163</v>
      </c>
      <c r="B63">
        <v>2031335926</v>
      </c>
      <c r="C63">
        <v>95</v>
      </c>
      <c r="E63" t="s">
        <v>10</v>
      </c>
      <c r="F63" t="s">
        <v>273</v>
      </c>
      <c r="G63">
        <v>4</v>
      </c>
      <c r="H63">
        <v>12</v>
      </c>
      <c r="I63">
        <v>0</v>
      </c>
      <c r="J63">
        <v>3</v>
      </c>
      <c r="K63" t="s">
        <v>68</v>
      </c>
      <c r="L63" s="18">
        <v>0.47916666666666669</v>
      </c>
      <c r="M63" t="s">
        <v>68</v>
      </c>
      <c r="N63" s="18">
        <v>0.64583333333333337</v>
      </c>
      <c r="O63" t="s">
        <v>40</v>
      </c>
      <c r="P63" t="s">
        <v>14</v>
      </c>
      <c r="Q63" t="s">
        <v>13</v>
      </c>
      <c r="T63" s="18">
        <v>0</v>
      </c>
      <c r="W63" s="18">
        <v>0</v>
      </c>
      <c r="Y63">
        <v>0</v>
      </c>
      <c r="Z63">
        <v>0</v>
      </c>
      <c r="AA63">
        <v>1</v>
      </c>
      <c r="AB63" t="s">
        <v>20</v>
      </c>
      <c r="AC63">
        <v>18</v>
      </c>
    </row>
    <row r="64" spans="1:29" x14ac:dyDescent="0.25">
      <c r="A64">
        <v>133475254</v>
      </c>
      <c r="B64">
        <v>2031336831</v>
      </c>
      <c r="C64">
        <v>60</v>
      </c>
      <c r="E64" t="s">
        <v>10</v>
      </c>
      <c r="F64" t="s">
        <v>274</v>
      </c>
      <c r="G64">
        <v>4</v>
      </c>
      <c r="H64">
        <v>8</v>
      </c>
      <c r="I64">
        <v>0</v>
      </c>
      <c r="J64">
        <v>2</v>
      </c>
      <c r="K64" t="s">
        <v>68</v>
      </c>
      <c r="L64" s="18">
        <v>0.3125</v>
      </c>
      <c r="M64" t="s">
        <v>68</v>
      </c>
      <c r="N64" s="18">
        <v>0.37916666666666665</v>
      </c>
      <c r="O64" t="s">
        <v>11</v>
      </c>
      <c r="P64" t="s">
        <v>14</v>
      </c>
      <c r="Q64" t="s">
        <v>13</v>
      </c>
      <c r="T64" s="18">
        <v>0</v>
      </c>
      <c r="W64" s="18">
        <v>0</v>
      </c>
      <c r="Y64">
        <v>0</v>
      </c>
      <c r="Z64">
        <v>0</v>
      </c>
      <c r="AB64" t="s">
        <v>20</v>
      </c>
      <c r="AC64">
        <v>19</v>
      </c>
    </row>
    <row r="65" spans="1:29" x14ac:dyDescent="0.25">
      <c r="A65">
        <v>133559712</v>
      </c>
      <c r="B65">
        <v>2031348916</v>
      </c>
      <c r="C65">
        <v>80</v>
      </c>
      <c r="E65" t="s">
        <v>10</v>
      </c>
      <c r="F65" t="s">
        <v>275</v>
      </c>
      <c r="G65">
        <v>4</v>
      </c>
      <c r="H65">
        <v>12</v>
      </c>
      <c r="I65">
        <v>0</v>
      </c>
      <c r="J65">
        <v>3</v>
      </c>
      <c r="K65" t="s">
        <v>65</v>
      </c>
      <c r="L65" s="18">
        <v>0.49583333333333335</v>
      </c>
      <c r="M65" t="s">
        <v>65</v>
      </c>
      <c r="N65" s="18">
        <v>0.63749999999999996</v>
      </c>
      <c r="O65" t="s">
        <v>40</v>
      </c>
      <c r="P65" t="s">
        <v>14</v>
      </c>
      <c r="Q65" t="s">
        <v>13</v>
      </c>
      <c r="T65" s="18">
        <v>0</v>
      </c>
      <c r="W65" s="18">
        <v>1</v>
      </c>
      <c r="Y65">
        <v>0</v>
      </c>
      <c r="Z65">
        <v>0</v>
      </c>
      <c r="AA65">
        <v>1</v>
      </c>
      <c r="AB65" t="s">
        <v>20</v>
      </c>
      <c r="AC65">
        <v>19</v>
      </c>
    </row>
    <row r="66" spans="1:29" x14ac:dyDescent="0.25">
      <c r="A66">
        <v>134026342</v>
      </c>
      <c r="B66">
        <v>2031357143</v>
      </c>
      <c r="C66">
        <v>220</v>
      </c>
      <c r="E66" t="s">
        <v>10</v>
      </c>
      <c r="F66" t="s">
        <v>63</v>
      </c>
      <c r="G66">
        <v>4</v>
      </c>
      <c r="H66">
        <v>12</v>
      </c>
      <c r="I66">
        <v>0</v>
      </c>
      <c r="J66">
        <v>3</v>
      </c>
      <c r="K66" t="s">
        <v>66</v>
      </c>
      <c r="L66" s="18">
        <v>0.45083333333333331</v>
      </c>
      <c r="M66" t="s">
        <v>66</v>
      </c>
      <c r="N66" s="18">
        <v>0.59250000000000003</v>
      </c>
      <c r="O66" t="s">
        <v>276</v>
      </c>
      <c r="P66" t="s">
        <v>14</v>
      </c>
      <c r="Q66" t="s">
        <v>13</v>
      </c>
      <c r="T66" s="18">
        <v>0</v>
      </c>
      <c r="W66" s="18">
        <v>0</v>
      </c>
      <c r="Y66">
        <v>0</v>
      </c>
      <c r="Z66">
        <v>0</v>
      </c>
      <c r="AB66" t="s">
        <v>20</v>
      </c>
      <c r="AC66">
        <v>19</v>
      </c>
    </row>
    <row r="67" spans="1:29" hidden="1" x14ac:dyDescent="0.25">
      <c r="A67">
        <v>133816222</v>
      </c>
      <c r="B67">
        <v>2031380216</v>
      </c>
      <c r="C67">
        <v>10</v>
      </c>
      <c r="E67" t="s">
        <v>10</v>
      </c>
      <c r="F67" t="s">
        <v>277</v>
      </c>
      <c r="G67">
        <v>4</v>
      </c>
      <c r="H67">
        <v>12</v>
      </c>
      <c r="I67">
        <v>0</v>
      </c>
      <c r="J67">
        <v>3</v>
      </c>
      <c r="K67" t="s">
        <v>66</v>
      </c>
      <c r="L67" s="18">
        <v>0.3125</v>
      </c>
      <c r="M67" t="s">
        <v>66</v>
      </c>
      <c r="N67" s="18">
        <v>0.41249999999999998</v>
      </c>
      <c r="O67" t="s">
        <v>11</v>
      </c>
      <c r="P67" t="s">
        <v>14</v>
      </c>
      <c r="Q67" t="s">
        <v>13</v>
      </c>
      <c r="T67" s="18">
        <v>0</v>
      </c>
      <c r="W67" s="18">
        <v>0</v>
      </c>
      <c r="Y67">
        <v>0</v>
      </c>
      <c r="Z67">
        <v>0</v>
      </c>
      <c r="AA67">
        <v>1</v>
      </c>
      <c r="AB67" t="s">
        <v>20</v>
      </c>
      <c r="AC67">
        <v>18</v>
      </c>
    </row>
    <row r="68" spans="1:29" hidden="1" x14ac:dyDescent="0.25">
      <c r="A68">
        <v>134012057</v>
      </c>
      <c r="B68">
        <v>2031382917</v>
      </c>
      <c r="C68">
        <v>55</v>
      </c>
      <c r="E68" t="s">
        <v>10</v>
      </c>
      <c r="F68" t="s">
        <v>278</v>
      </c>
      <c r="G68">
        <v>4</v>
      </c>
      <c r="H68">
        <v>6</v>
      </c>
      <c r="I68">
        <v>0</v>
      </c>
      <c r="J68">
        <v>1.5</v>
      </c>
      <c r="K68" t="s">
        <v>74</v>
      </c>
      <c r="L68" s="18">
        <v>0.40416666666666667</v>
      </c>
      <c r="M68" t="s">
        <v>74</v>
      </c>
      <c r="N68" s="18">
        <v>0.45416666666666666</v>
      </c>
      <c r="O68" t="s">
        <v>19</v>
      </c>
      <c r="P68" t="s">
        <v>14</v>
      </c>
      <c r="Q68" t="s">
        <v>13</v>
      </c>
      <c r="T68" s="18">
        <v>0</v>
      </c>
      <c r="W68" s="18">
        <v>0</v>
      </c>
      <c r="Y68">
        <v>0</v>
      </c>
      <c r="Z68">
        <v>0</v>
      </c>
      <c r="AA68">
        <v>2</v>
      </c>
      <c r="AB68" t="s">
        <v>20</v>
      </c>
      <c r="AC68">
        <v>18</v>
      </c>
    </row>
    <row r="69" spans="1:29" x14ac:dyDescent="0.25">
      <c r="A69">
        <v>134440806</v>
      </c>
      <c r="B69">
        <v>2031482284</v>
      </c>
      <c r="C69">
        <v>40</v>
      </c>
      <c r="E69" t="s">
        <v>10</v>
      </c>
      <c r="F69" t="s">
        <v>279</v>
      </c>
      <c r="G69">
        <v>4</v>
      </c>
      <c r="H69">
        <v>16</v>
      </c>
      <c r="I69">
        <v>0</v>
      </c>
      <c r="J69">
        <v>4</v>
      </c>
      <c r="K69" t="s">
        <v>66</v>
      </c>
      <c r="L69" s="18">
        <v>0.33750000000000002</v>
      </c>
      <c r="M69" t="s">
        <v>66</v>
      </c>
      <c r="N69" s="18">
        <v>0.54583333333333328</v>
      </c>
      <c r="O69" t="s">
        <v>40</v>
      </c>
      <c r="P69" t="s">
        <v>14</v>
      </c>
      <c r="Q69" t="s">
        <v>13</v>
      </c>
      <c r="T69" s="18">
        <v>0</v>
      </c>
      <c r="W69" s="18">
        <v>0</v>
      </c>
      <c r="Y69">
        <v>0</v>
      </c>
      <c r="Z69">
        <v>0</v>
      </c>
      <c r="AA69">
        <v>1</v>
      </c>
      <c r="AB69" t="s">
        <v>20</v>
      </c>
      <c r="AC69">
        <v>19</v>
      </c>
    </row>
    <row r="70" spans="1:29" x14ac:dyDescent="0.25">
      <c r="A70">
        <v>134440807</v>
      </c>
      <c r="B70">
        <v>2031482284</v>
      </c>
      <c r="C70">
        <v>50</v>
      </c>
      <c r="E70" t="s">
        <v>10</v>
      </c>
      <c r="F70" t="s">
        <v>280</v>
      </c>
      <c r="G70">
        <v>4</v>
      </c>
      <c r="H70">
        <v>8</v>
      </c>
      <c r="I70">
        <v>0</v>
      </c>
      <c r="J70">
        <v>2</v>
      </c>
      <c r="K70" t="s">
        <v>66</v>
      </c>
      <c r="L70" s="18">
        <v>0.54583333333333328</v>
      </c>
      <c r="M70" t="s">
        <v>66</v>
      </c>
      <c r="N70" s="18">
        <v>0.62916666666666665</v>
      </c>
      <c r="O70" t="s">
        <v>11</v>
      </c>
      <c r="P70" t="s">
        <v>14</v>
      </c>
      <c r="Q70" t="s">
        <v>13</v>
      </c>
      <c r="T70" s="18">
        <v>0</v>
      </c>
      <c r="W70" s="18">
        <v>0</v>
      </c>
      <c r="Y70">
        <v>0</v>
      </c>
      <c r="Z70">
        <v>0</v>
      </c>
      <c r="AA70">
        <v>1</v>
      </c>
      <c r="AB70" t="s">
        <v>20</v>
      </c>
      <c r="AC70">
        <v>19</v>
      </c>
    </row>
    <row r="71" spans="1:29" x14ac:dyDescent="0.25">
      <c r="A71">
        <v>134440808</v>
      </c>
      <c r="B71">
        <v>2031482284</v>
      </c>
      <c r="C71">
        <v>60</v>
      </c>
      <c r="E71" t="s">
        <v>10</v>
      </c>
      <c r="F71" t="s">
        <v>281</v>
      </c>
      <c r="G71">
        <v>4</v>
      </c>
      <c r="H71">
        <v>8</v>
      </c>
      <c r="I71">
        <v>0</v>
      </c>
      <c r="J71">
        <v>2</v>
      </c>
      <c r="K71" t="s">
        <v>66</v>
      </c>
      <c r="L71" s="18">
        <v>0.62916666666666665</v>
      </c>
      <c r="M71" t="s">
        <v>66</v>
      </c>
      <c r="N71" s="18">
        <v>0.71250000000000002</v>
      </c>
      <c r="O71" t="s">
        <v>11</v>
      </c>
      <c r="P71" t="s">
        <v>14</v>
      </c>
      <c r="Q71" t="s">
        <v>13</v>
      </c>
      <c r="T71" s="18">
        <v>0</v>
      </c>
      <c r="W71" s="18">
        <v>0</v>
      </c>
      <c r="Y71">
        <v>0</v>
      </c>
      <c r="Z71">
        <v>0</v>
      </c>
      <c r="AA71">
        <v>1</v>
      </c>
      <c r="AB71" t="s">
        <v>20</v>
      </c>
      <c r="AC71">
        <v>19</v>
      </c>
    </row>
    <row r="72" spans="1:29" x14ac:dyDescent="0.25">
      <c r="A72">
        <v>134440814</v>
      </c>
      <c r="B72">
        <v>2031482284</v>
      </c>
      <c r="C72">
        <v>130</v>
      </c>
      <c r="E72" t="s">
        <v>10</v>
      </c>
      <c r="F72" t="s">
        <v>282</v>
      </c>
      <c r="G72">
        <v>4</v>
      </c>
      <c r="H72">
        <v>12</v>
      </c>
      <c r="I72">
        <v>0</v>
      </c>
      <c r="J72">
        <v>3</v>
      </c>
      <c r="K72" t="s">
        <v>74</v>
      </c>
      <c r="L72" s="18">
        <v>0.37083333333333335</v>
      </c>
      <c r="M72" t="s">
        <v>74</v>
      </c>
      <c r="N72" s="18">
        <v>0.49583333333333335</v>
      </c>
      <c r="O72" t="s">
        <v>40</v>
      </c>
      <c r="P72" t="s">
        <v>14</v>
      </c>
      <c r="Q72" t="s">
        <v>13</v>
      </c>
      <c r="T72" s="18">
        <v>0</v>
      </c>
      <c r="W72" s="18">
        <v>0</v>
      </c>
      <c r="Y72">
        <v>0</v>
      </c>
      <c r="Z72">
        <v>0</v>
      </c>
      <c r="AA72">
        <v>1</v>
      </c>
      <c r="AB72" t="s">
        <v>20</v>
      </c>
      <c r="AC72">
        <v>19</v>
      </c>
    </row>
    <row r="73" spans="1:29" hidden="1" x14ac:dyDescent="0.25">
      <c r="A73">
        <v>134563081</v>
      </c>
      <c r="B73">
        <v>2031508728</v>
      </c>
      <c r="C73">
        <v>10</v>
      </c>
      <c r="E73" t="s">
        <v>10</v>
      </c>
      <c r="F73" t="s">
        <v>283</v>
      </c>
      <c r="G73">
        <v>4</v>
      </c>
      <c r="H73">
        <v>16</v>
      </c>
      <c r="I73">
        <v>0</v>
      </c>
      <c r="J73">
        <v>4</v>
      </c>
      <c r="K73" t="s">
        <v>68</v>
      </c>
      <c r="L73" s="18">
        <v>0.3125</v>
      </c>
      <c r="M73" t="s">
        <v>68</v>
      </c>
      <c r="N73" s="18">
        <v>0.47916666666666669</v>
      </c>
      <c r="O73" t="s">
        <v>40</v>
      </c>
      <c r="P73" t="s">
        <v>14</v>
      </c>
      <c r="Q73" t="s">
        <v>13</v>
      </c>
      <c r="T73" s="18">
        <v>0</v>
      </c>
      <c r="W73" s="18">
        <v>0</v>
      </c>
      <c r="Y73">
        <v>0</v>
      </c>
      <c r="Z73">
        <v>0</v>
      </c>
      <c r="AA73">
        <v>1</v>
      </c>
      <c r="AB73" t="s">
        <v>20</v>
      </c>
      <c r="AC73">
        <v>18</v>
      </c>
    </row>
    <row r="74" spans="1:29" hidden="1" x14ac:dyDescent="0.25">
      <c r="A74">
        <v>134567982</v>
      </c>
      <c r="B74">
        <v>2031508728</v>
      </c>
      <c r="C74">
        <v>80</v>
      </c>
      <c r="E74" t="s">
        <v>10</v>
      </c>
      <c r="F74" t="s">
        <v>284</v>
      </c>
      <c r="G74">
        <v>4</v>
      </c>
      <c r="H74">
        <v>8</v>
      </c>
      <c r="I74">
        <v>0</v>
      </c>
      <c r="J74">
        <v>2</v>
      </c>
      <c r="K74" t="s">
        <v>74</v>
      </c>
      <c r="L74" s="18">
        <v>0.6875</v>
      </c>
      <c r="M74" t="s">
        <v>65</v>
      </c>
      <c r="N74" s="18">
        <v>0.35416666666666669</v>
      </c>
      <c r="O74" t="s">
        <v>40</v>
      </c>
      <c r="P74" t="s">
        <v>14</v>
      </c>
      <c r="Q74" t="s">
        <v>13</v>
      </c>
      <c r="T74" s="18">
        <v>0</v>
      </c>
      <c r="W74" s="18">
        <v>0</v>
      </c>
      <c r="Y74">
        <v>0</v>
      </c>
      <c r="Z74">
        <v>0</v>
      </c>
      <c r="AA74">
        <v>1</v>
      </c>
      <c r="AB74" t="s">
        <v>20</v>
      </c>
      <c r="AC74">
        <v>18</v>
      </c>
    </row>
    <row r="75" spans="1:29" x14ac:dyDescent="0.25">
      <c r="A75">
        <v>134613612</v>
      </c>
      <c r="B75">
        <v>2031519455</v>
      </c>
      <c r="C75">
        <v>10</v>
      </c>
      <c r="E75" t="s">
        <v>10</v>
      </c>
      <c r="F75" t="s">
        <v>285</v>
      </c>
      <c r="G75">
        <v>4</v>
      </c>
      <c r="H75">
        <v>16</v>
      </c>
      <c r="I75">
        <v>0</v>
      </c>
      <c r="J75">
        <v>4</v>
      </c>
      <c r="K75" t="s">
        <v>68</v>
      </c>
      <c r="L75" s="18">
        <v>0</v>
      </c>
      <c r="M75" t="s">
        <v>68</v>
      </c>
      <c r="N75" s="18">
        <v>0.16666666666666666</v>
      </c>
      <c r="O75" t="s">
        <v>40</v>
      </c>
      <c r="P75" t="s">
        <v>14</v>
      </c>
      <c r="Q75" t="s">
        <v>13</v>
      </c>
      <c r="T75" s="18">
        <v>0</v>
      </c>
      <c r="W75" s="19">
        <v>0</v>
      </c>
      <c r="Y75">
        <v>0</v>
      </c>
      <c r="Z75">
        <v>0</v>
      </c>
      <c r="AB75" t="s">
        <v>20</v>
      </c>
      <c r="AC75">
        <v>19</v>
      </c>
    </row>
    <row r="76" spans="1:29" x14ac:dyDescent="0.25">
      <c r="A76">
        <v>134614740</v>
      </c>
      <c r="B76">
        <v>2031519455</v>
      </c>
      <c r="C76">
        <v>100</v>
      </c>
      <c r="E76" t="s">
        <v>10</v>
      </c>
      <c r="F76" t="s">
        <v>286</v>
      </c>
      <c r="G76">
        <v>4</v>
      </c>
      <c r="H76">
        <v>8</v>
      </c>
      <c r="I76">
        <v>0</v>
      </c>
      <c r="J76">
        <v>2</v>
      </c>
      <c r="K76" t="s">
        <v>68</v>
      </c>
      <c r="L76" s="18">
        <v>0.91666666666666663</v>
      </c>
      <c r="M76" t="s">
        <v>68</v>
      </c>
      <c r="N76" s="18">
        <v>1</v>
      </c>
      <c r="O76" t="s">
        <v>40</v>
      </c>
      <c r="P76" t="s">
        <v>14</v>
      </c>
      <c r="Q76" t="s">
        <v>13</v>
      </c>
      <c r="T76" s="18">
        <v>0</v>
      </c>
      <c r="W76" s="18">
        <v>0</v>
      </c>
      <c r="Y76">
        <v>0</v>
      </c>
      <c r="Z76">
        <v>0</v>
      </c>
      <c r="AB76" t="s">
        <v>20</v>
      </c>
      <c r="AC76">
        <v>19</v>
      </c>
    </row>
    <row r="77" spans="1:29" hidden="1" x14ac:dyDescent="0.25">
      <c r="A77">
        <v>134619174</v>
      </c>
      <c r="B77">
        <v>2031520505</v>
      </c>
      <c r="C77">
        <v>5</v>
      </c>
      <c r="E77" t="s">
        <v>10</v>
      </c>
      <c r="F77" t="s">
        <v>287</v>
      </c>
      <c r="G77">
        <v>4</v>
      </c>
      <c r="H77">
        <v>8</v>
      </c>
      <c r="I77">
        <v>0</v>
      </c>
      <c r="J77">
        <v>2</v>
      </c>
      <c r="K77" t="s">
        <v>68</v>
      </c>
      <c r="L77" s="18">
        <v>0.3125</v>
      </c>
      <c r="M77" t="s">
        <v>68</v>
      </c>
      <c r="N77" s="18">
        <v>0.39583333333333331</v>
      </c>
      <c r="O77" t="s">
        <v>11</v>
      </c>
      <c r="P77" t="s">
        <v>14</v>
      </c>
      <c r="Q77" t="s">
        <v>13</v>
      </c>
      <c r="T77" s="18">
        <v>0</v>
      </c>
      <c r="W77" s="18">
        <v>1</v>
      </c>
      <c r="Y77">
        <v>0</v>
      </c>
      <c r="Z77">
        <v>0</v>
      </c>
      <c r="AB77" t="s">
        <v>20</v>
      </c>
      <c r="AC77">
        <v>18</v>
      </c>
    </row>
    <row r="78" spans="1:29" hidden="1" x14ac:dyDescent="0.25">
      <c r="A78">
        <v>134619179</v>
      </c>
      <c r="B78">
        <v>2031520505</v>
      </c>
      <c r="C78">
        <v>130</v>
      </c>
      <c r="E78" t="s">
        <v>10</v>
      </c>
      <c r="F78" t="s">
        <v>288</v>
      </c>
      <c r="G78">
        <v>4</v>
      </c>
      <c r="H78">
        <v>4</v>
      </c>
      <c r="I78">
        <v>0</v>
      </c>
      <c r="J78">
        <v>1</v>
      </c>
      <c r="K78" t="s">
        <v>65</v>
      </c>
      <c r="L78" s="18">
        <v>0.42083333333333334</v>
      </c>
      <c r="M78" t="s">
        <v>65</v>
      </c>
      <c r="N78" s="18">
        <v>0.46250000000000002</v>
      </c>
      <c r="O78" t="s">
        <v>11</v>
      </c>
      <c r="P78" t="s">
        <v>14</v>
      </c>
      <c r="Q78" t="s">
        <v>13</v>
      </c>
      <c r="T78" s="18">
        <v>0</v>
      </c>
      <c r="W78" s="18">
        <v>1</v>
      </c>
      <c r="Y78">
        <v>0</v>
      </c>
      <c r="Z78">
        <v>0</v>
      </c>
      <c r="AB78" t="s">
        <v>20</v>
      </c>
      <c r="AC78">
        <v>18</v>
      </c>
    </row>
    <row r="79" spans="1:29" hidden="1" x14ac:dyDescent="0.25">
      <c r="A79">
        <v>134619934</v>
      </c>
      <c r="B79">
        <v>2031520830</v>
      </c>
      <c r="C79">
        <v>5</v>
      </c>
      <c r="E79" t="s">
        <v>10</v>
      </c>
      <c r="F79" t="s">
        <v>289</v>
      </c>
      <c r="G79">
        <v>4</v>
      </c>
      <c r="H79">
        <v>8</v>
      </c>
      <c r="I79">
        <v>0</v>
      </c>
      <c r="J79">
        <v>2</v>
      </c>
      <c r="K79" t="s">
        <v>68</v>
      </c>
      <c r="L79" s="18">
        <v>0.3125</v>
      </c>
      <c r="M79" t="s">
        <v>68</v>
      </c>
      <c r="N79" s="18">
        <v>0.39583333333333331</v>
      </c>
      <c r="O79" t="s">
        <v>11</v>
      </c>
      <c r="P79" t="s">
        <v>14</v>
      </c>
      <c r="Q79" t="s">
        <v>13</v>
      </c>
      <c r="T79" s="18">
        <v>0</v>
      </c>
      <c r="W79" s="18">
        <v>1</v>
      </c>
      <c r="Y79">
        <v>0</v>
      </c>
      <c r="Z79">
        <v>0</v>
      </c>
      <c r="AB79" t="s">
        <v>20</v>
      </c>
      <c r="AC79">
        <v>18</v>
      </c>
    </row>
    <row r="80" spans="1:29" hidden="1" x14ac:dyDescent="0.25">
      <c r="A80">
        <v>134619958</v>
      </c>
      <c r="B80">
        <v>2031520833</v>
      </c>
      <c r="C80">
        <v>5</v>
      </c>
      <c r="E80" t="s">
        <v>10</v>
      </c>
      <c r="F80" t="s">
        <v>290</v>
      </c>
      <c r="G80">
        <v>4</v>
      </c>
      <c r="H80">
        <v>8</v>
      </c>
      <c r="I80">
        <v>0</v>
      </c>
      <c r="J80">
        <v>2</v>
      </c>
      <c r="K80" t="s">
        <v>68</v>
      </c>
      <c r="L80" s="18">
        <v>0.3125</v>
      </c>
      <c r="M80" t="s">
        <v>68</v>
      </c>
      <c r="N80" s="18">
        <v>0.39583333333333331</v>
      </c>
      <c r="O80" t="s">
        <v>11</v>
      </c>
      <c r="P80" t="s">
        <v>14</v>
      </c>
      <c r="Q80" t="s">
        <v>13</v>
      </c>
      <c r="T80" s="18">
        <v>0</v>
      </c>
      <c r="W80" s="18">
        <v>1</v>
      </c>
      <c r="Y80">
        <v>0</v>
      </c>
      <c r="Z80">
        <v>0</v>
      </c>
      <c r="AB80" t="s">
        <v>20</v>
      </c>
      <c r="AC80">
        <v>18</v>
      </c>
    </row>
    <row r="81" spans="12:23" hidden="1" x14ac:dyDescent="0.25">
      <c r="L81" s="18"/>
      <c r="N81" s="18"/>
      <c r="T81" s="18"/>
      <c r="W81" s="18"/>
    </row>
    <row r="82" spans="12:23" hidden="1" x14ac:dyDescent="0.25">
      <c r="L82" s="18"/>
      <c r="N82" s="18"/>
      <c r="T82" s="18"/>
      <c r="W82" s="18"/>
    </row>
    <row r="83" spans="12:23" hidden="1" x14ac:dyDescent="0.25">
      <c r="L83" s="18"/>
      <c r="N83" s="18"/>
      <c r="T83" s="18"/>
      <c r="W83" s="18"/>
    </row>
    <row r="84" spans="12:23" hidden="1" x14ac:dyDescent="0.25">
      <c r="L84" s="18"/>
      <c r="N84" s="18"/>
      <c r="T84" s="18"/>
      <c r="W84" s="18"/>
    </row>
    <row r="85" spans="12:23" hidden="1" x14ac:dyDescent="0.25">
      <c r="L85" s="18"/>
      <c r="N85" s="18"/>
      <c r="T85" s="18"/>
      <c r="W85" s="18"/>
    </row>
    <row r="86" spans="12:23" hidden="1" x14ac:dyDescent="0.25">
      <c r="L86" s="18"/>
      <c r="N86" s="18"/>
      <c r="T86" s="18"/>
      <c r="W86" s="18"/>
    </row>
    <row r="87" spans="12:23" hidden="1" x14ac:dyDescent="0.25">
      <c r="L87" s="18"/>
      <c r="N87" s="18"/>
      <c r="T87" s="18"/>
      <c r="W87" s="18"/>
    </row>
    <row r="88" spans="12:23" hidden="1" x14ac:dyDescent="0.25">
      <c r="L88" s="18"/>
      <c r="N88" s="18"/>
      <c r="T88" s="18"/>
      <c r="W88" s="18"/>
    </row>
    <row r="89" spans="12:23" hidden="1" x14ac:dyDescent="0.25">
      <c r="L89" s="18"/>
      <c r="N89" s="18"/>
      <c r="T89" s="18"/>
      <c r="W89" s="18"/>
    </row>
    <row r="90" spans="12:23" hidden="1" x14ac:dyDescent="0.25">
      <c r="L90" s="18"/>
      <c r="N90" s="18"/>
      <c r="T90" s="18"/>
      <c r="W90" s="18"/>
    </row>
    <row r="91" spans="12:23" hidden="1" x14ac:dyDescent="0.25">
      <c r="L91" s="18"/>
      <c r="N91" s="18"/>
      <c r="T91" s="18"/>
      <c r="W91" s="18"/>
    </row>
    <row r="92" spans="12:23" hidden="1" x14ac:dyDescent="0.25">
      <c r="L92" s="18"/>
      <c r="N92" s="18"/>
      <c r="T92" s="18"/>
      <c r="W92" s="18"/>
    </row>
    <row r="93" spans="12:23" hidden="1" x14ac:dyDescent="0.25">
      <c r="L93" s="18"/>
      <c r="N93" s="18"/>
      <c r="T93" s="18"/>
      <c r="W93" s="18"/>
    </row>
    <row r="94" spans="12:23" hidden="1" x14ac:dyDescent="0.25">
      <c r="L94" s="18"/>
      <c r="N94" s="18"/>
      <c r="T94" s="18"/>
      <c r="W94" s="18"/>
    </row>
    <row r="95" spans="12:23" hidden="1" x14ac:dyDescent="0.25">
      <c r="L95" s="18"/>
      <c r="N95" s="18"/>
      <c r="T95" s="18"/>
      <c r="W95" s="18"/>
    </row>
    <row r="96" spans="12:23" hidden="1" x14ac:dyDescent="0.25">
      <c r="L96" s="18"/>
      <c r="N96" s="18"/>
      <c r="T96" s="18"/>
      <c r="W96" s="18"/>
    </row>
    <row r="97" spans="12:23" hidden="1" x14ac:dyDescent="0.25">
      <c r="L97" s="18"/>
      <c r="N97" s="18"/>
      <c r="T97" s="18"/>
      <c r="W97" s="18"/>
    </row>
    <row r="98" spans="12:23" hidden="1" x14ac:dyDescent="0.25">
      <c r="L98" s="18"/>
      <c r="N98" s="18"/>
      <c r="T98" s="18"/>
      <c r="W98" s="18"/>
    </row>
    <row r="99" spans="12:23" hidden="1" x14ac:dyDescent="0.25">
      <c r="L99" s="18"/>
      <c r="N99" s="18"/>
      <c r="T99" s="18"/>
      <c r="W99" s="18"/>
    </row>
    <row r="100" spans="12:23" hidden="1" x14ac:dyDescent="0.25">
      <c r="L100" s="18"/>
      <c r="N100" s="18"/>
      <c r="T100" s="18"/>
      <c r="W100" s="18"/>
    </row>
    <row r="101" spans="12:23" hidden="1" x14ac:dyDescent="0.25">
      <c r="L101" s="18"/>
      <c r="N101" s="18"/>
      <c r="T101" s="18"/>
      <c r="W101" s="18"/>
    </row>
    <row r="102" spans="12:23" hidden="1" x14ac:dyDescent="0.25">
      <c r="L102" s="18"/>
      <c r="N102" s="18"/>
      <c r="T102" s="18"/>
      <c r="W102" s="19"/>
    </row>
    <row r="103" spans="12:23" hidden="1" x14ac:dyDescent="0.25">
      <c r="L103" s="18"/>
      <c r="N103" s="18"/>
      <c r="T103" s="18"/>
      <c r="W103" s="19"/>
    </row>
    <row r="104" spans="12:23" hidden="1" x14ac:dyDescent="0.25">
      <c r="L104" s="18"/>
      <c r="N104" s="18"/>
      <c r="T104" s="18"/>
      <c r="W104" s="18"/>
    </row>
    <row r="105" spans="12:23" hidden="1" x14ac:dyDescent="0.25">
      <c r="L105" s="18"/>
      <c r="N105" s="18"/>
      <c r="T105" s="18"/>
      <c r="W105" s="19"/>
    </row>
    <row r="106" spans="12:23" hidden="1" x14ac:dyDescent="0.25">
      <c r="L106" s="18"/>
      <c r="N106" s="18"/>
      <c r="T106" s="18"/>
      <c r="W106" s="19"/>
    </row>
  </sheetData>
  <autoFilter ref="A1:AF106" xr:uid="{2BCEC47D-41DE-4BB3-AD6B-E0546668367F}">
    <filterColumn colId="28">
      <filters>
        <filter val="19"/>
      </filters>
    </filterColumn>
  </autoFilter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NIVELADAS</vt:lpstr>
      <vt:lpstr>AUSETU T.E</vt:lpstr>
      <vt:lpstr>CALDTU T.E</vt:lpstr>
      <vt:lpstr>MANDTU T.E</vt:lpstr>
      <vt:lpstr>AUSETU UT</vt:lpstr>
      <vt:lpstr>CALDTU UT</vt:lpstr>
      <vt:lpstr>MANDTU UT</vt:lpstr>
      <vt:lpstr>ORG</vt:lpstr>
    </vt:vector>
  </TitlesOfParts>
  <Company>Petrobras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Ricardo Oliveira Cainelles - PrestServ</dc:creator>
  <cp:lastModifiedBy>Paulo Ricardo Oliveira Cainelles - PrestServ</cp:lastModifiedBy>
  <dcterms:created xsi:type="dcterms:W3CDTF">2025-11-28T11:45:36Z</dcterms:created>
  <dcterms:modified xsi:type="dcterms:W3CDTF">2026-01-09T14:32:45Z</dcterms:modified>
</cp:coreProperties>
</file>