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petrobrasbr-my.sharepoint.com/personal/paulo_cainelles_prestserv_petrobras_com_br/Documents/Área de Trabalho/torres/nivelamento/"/>
    </mc:Choice>
  </mc:AlternateContent>
  <xr:revisionPtr revIDLastSave="530" documentId="14_{3AE44733-C139-4DCE-ACF7-7A76ECA3B1AC}" xr6:coauthVersionLast="47" xr6:coauthVersionMax="47" xr10:uidLastSave="{938F6DC9-2ABF-4A36-9360-6F3B3B5C5C6A}"/>
  <bookViews>
    <workbookView xWindow="-105" yWindow="0" windowWidth="26010" windowHeight="20985" tabRatio="1000" activeTab="7" xr2:uid="{6F1CD188-6D62-48EE-9C78-77398EC325CC}"/>
  </bookViews>
  <sheets>
    <sheet name="NIVELADAS" sheetId="4" r:id="rId1"/>
    <sheet name="AUSETU T.E" sheetId="2" r:id="rId2"/>
    <sheet name="CALDTU T.E" sheetId="3" r:id="rId3"/>
    <sheet name="MANDTU T.E" sheetId="5" r:id="rId4"/>
    <sheet name="AUSETU UT" sheetId="6" r:id="rId5"/>
    <sheet name="CALDTU UT" sheetId="7" r:id="rId6"/>
    <sheet name="MANDTU UT" sheetId="8" r:id="rId7"/>
    <sheet name="ORG" sheetId="9" r:id="rId8"/>
  </sheets>
  <definedNames>
    <definedName name="_xlnm._FilterDatabase" localSheetId="7" hidden="1">ORG!$A$1:$AF$114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8" l="1"/>
  <c r="J43" i="4" s="1"/>
  <c r="H1" i="7"/>
  <c r="J32" i="4" s="1"/>
  <c r="H1" i="5"/>
  <c r="J42" i="4" s="1"/>
  <c r="H1" i="3"/>
  <c r="J31" i="4" s="1"/>
  <c r="H1" i="2"/>
  <c r="J20" i="4" s="1"/>
  <c r="H1" i="6"/>
  <c r="J21" i="4" s="1"/>
  <c r="E4" i="4"/>
  <c r="E5" i="4" s="1"/>
  <c r="F14" i="4"/>
  <c r="F15" i="4" s="1"/>
  <c r="F9" i="4"/>
  <c r="F10" i="4" s="1"/>
  <c r="F4" i="4"/>
  <c r="F5" i="4" s="1"/>
  <c r="E14" i="4"/>
  <c r="E15" i="4" s="1"/>
  <c r="E9" i="4"/>
  <c r="E10" i="4" s="1"/>
  <c r="G5" i="4"/>
  <c r="D5" i="4"/>
  <c r="C5" i="4"/>
  <c r="C15" i="4"/>
  <c r="G15" i="4"/>
  <c r="D15" i="4"/>
  <c r="G10" i="4"/>
  <c r="D10" i="4"/>
  <c r="C10" i="4"/>
  <c r="K41" i="4" l="1"/>
  <c r="K19" i="4"/>
  <c r="J19" i="4"/>
  <c r="J41" i="4"/>
  <c r="K30" i="4"/>
  <c r="J30" i="4"/>
  <c r="K21" i="4" l="1"/>
  <c r="K42" i="4"/>
  <c r="K31" i="4"/>
  <c r="K43" i="4"/>
  <c r="K32" i="4"/>
  <c r="K20" i="4"/>
  <c r="J47" i="4" l="1"/>
  <c r="O45" i="4" s="1"/>
  <c r="J48" i="4"/>
  <c r="O46" i="4" s="1"/>
  <c r="O44" i="4" l="1"/>
  <c r="K51" i="4" s="1"/>
  <c r="K47" i="4" s="1"/>
  <c r="K52" i="4" l="1"/>
</calcChain>
</file>

<file path=xl/sharedStrings.xml><?xml version="1.0" encoding="utf-8"?>
<sst xmlns="http://schemas.openxmlformats.org/spreadsheetml/2006/main" count="2430" uniqueCount="298">
  <si>
    <t>SEMANA</t>
  </si>
  <si>
    <t>NECESSIDADE</t>
  </si>
  <si>
    <t>CAPACIDADE ÚTIL</t>
  </si>
  <si>
    <t>CARGA</t>
  </si>
  <si>
    <t>CAPACIDADE LIVRE</t>
  </si>
  <si>
    <t>UNIDADE</t>
  </si>
  <si>
    <t>Total &gt;&gt;&gt;</t>
  </si>
  <si>
    <t>H</t>
  </si>
  <si>
    <t>AUSETU</t>
  </si>
  <si>
    <t>CALDTU</t>
  </si>
  <si>
    <t>MANDTU</t>
  </si>
  <si>
    <t>NDEL</t>
  </si>
  <si>
    <t>IMPR LIB  PLAN</t>
  </si>
  <si>
    <t>ZM01</t>
  </si>
  <si>
    <t>LIB  PLAN</t>
  </si>
  <si>
    <t>NDEL EVCO EXCO</t>
  </si>
  <si>
    <t>JBFI LIB  PLAN PWF</t>
  </si>
  <si>
    <t>NDEL CO03</t>
  </si>
  <si>
    <t>UTDI - Limpar grades/Filtros/Rolo BP/API</t>
  </si>
  <si>
    <t>NDEL CO01 EVCO</t>
  </si>
  <si>
    <t>NÃO SE APLICA</t>
  </si>
  <si>
    <t>FT6205: subst. elem. filtrantes se neces</t>
  </si>
  <si>
    <t>NDEL CO03 EVCO</t>
  </si>
  <si>
    <t>X</t>
  </si>
  <si>
    <t>TRANSFERENCIA E ESTOCAGEM</t>
  </si>
  <si>
    <t>UTILIDADES</t>
  </si>
  <si>
    <t>Oper</t>
  </si>
  <si>
    <t>Ordem</t>
  </si>
  <si>
    <t>Confirm</t>
  </si>
  <si>
    <t>Subop</t>
  </si>
  <si>
    <t>CenTrabOp</t>
  </si>
  <si>
    <t>Txt. Breve operação</t>
  </si>
  <si>
    <t>executenta</t>
  </si>
  <si>
    <t>Trabalho</t>
  </si>
  <si>
    <t>TrbReal</t>
  </si>
  <si>
    <t>Duração</t>
  </si>
  <si>
    <t>TE</t>
  </si>
  <si>
    <t>UT</t>
  </si>
  <si>
    <t>TOTAL</t>
  </si>
  <si>
    <t>NDEL CO01</t>
  </si>
  <si>
    <t>NDEL EVCO</t>
  </si>
  <si>
    <t xml:space="preserve"> </t>
  </si>
  <si>
    <t>REPLAN/SMS/SO-2025-133</t>
  </si>
  <si>
    <t>51.2025</t>
  </si>
  <si>
    <t>TE - CO6 - Limpeza Area e Pq Bomba</t>
  </si>
  <si>
    <t>UTDI /TE:Apoio carreg/desc.produtos qu.</t>
  </si>
  <si>
    <t>ETA:Apoio transf.prod.químico 3ªsemana</t>
  </si>
  <si>
    <t>ETA:Apoio transf.prod.químico3ªsemana</t>
  </si>
  <si>
    <t>P-6302B Observador espaço confinado</t>
  </si>
  <si>
    <t>P-6302B Realizar Limpeza Interna Casco</t>
  </si>
  <si>
    <t>P-6302B Realizar Limpeza Intern Carretel</t>
  </si>
  <si>
    <t>V-6204E:Repor resina</t>
  </si>
  <si>
    <t>E</t>
  </si>
  <si>
    <t>TQ-7408: PRCO Anexar relatório</t>
  </si>
  <si>
    <t>GV-6302 Sub.válv.bloq.ar dos queimad.1°P</t>
  </si>
  <si>
    <t>NDEL CA01</t>
  </si>
  <si>
    <t>CNPA LIB  PLAN</t>
  </si>
  <si>
    <t>$MAND TQ-4808: Desmontar andaime acesso</t>
  </si>
  <si>
    <t>V-4009B:Vigia de espaço confinado</t>
  </si>
  <si>
    <t>26.01.2026</t>
  </si>
  <si>
    <t>28.01.2026</t>
  </si>
  <si>
    <t>P-6368A Transp. Permutador p/ Oficina</t>
  </si>
  <si>
    <t>27.01.2026</t>
  </si>
  <si>
    <t>P-6368A Real Limpeza do Permut (NR13)</t>
  </si>
  <si>
    <t>P-6368A Transp. Permutador p/ hidrojato</t>
  </si>
  <si>
    <t>P-6368A Realizar Limpeza Final (NR13)</t>
  </si>
  <si>
    <t>P-6368A Transp. Permutador p/ Área</t>
  </si>
  <si>
    <t>P-6368B Transp. Permutador p/ Oficina</t>
  </si>
  <si>
    <t>P-6368B Real Limpeza do Permut (NR13)</t>
  </si>
  <si>
    <t>P-6368B Transp. Permutador p/ hidrojato</t>
  </si>
  <si>
    <t>P-6368B Realizar Limpeza Final (NR13)</t>
  </si>
  <si>
    <t>P-6368B Transp. Permutador p/ Área</t>
  </si>
  <si>
    <t>29.01.2026</t>
  </si>
  <si>
    <t>VA-4930: Realizar limpeza Tela Vent</t>
  </si>
  <si>
    <t>TQ-4004: Realizar limpeza local</t>
  </si>
  <si>
    <t>TQ-4629: PRCO Elaborar relatório</t>
  </si>
  <si>
    <t>ZM05</t>
  </si>
  <si>
    <t>PSV-40276: Transp Spool p/ jato</t>
  </si>
  <si>
    <t>PSV-40276: Transp Spool p/ área</t>
  </si>
  <si>
    <t>TR-6121E:Real. abertura das placas</t>
  </si>
  <si>
    <t>$MANG-PLQ1236:Instalar mang ejetor</t>
  </si>
  <si>
    <t>$LIMP-PLQ1236:Limp/Dessaso/Drenar local</t>
  </si>
  <si>
    <t>$MANG-PLQ1592:Instalar mang ejetor</t>
  </si>
  <si>
    <t>$LIMP-PLQ1592:Limp/Dessaso/Drenar local</t>
  </si>
  <si>
    <t>TQ-4111:Inst forma/ concretar caixa válv</t>
  </si>
  <si>
    <t>TQ-4720: PRCO Anexar relatório</t>
  </si>
  <si>
    <t>GV-2201-Real. Drenagem Oledos tanques</t>
  </si>
  <si>
    <t>GV-2201- Transp.  material p/ area 5 sem</t>
  </si>
  <si>
    <t>30.01.2026</t>
  </si>
  <si>
    <t>GV-2201-Realizar limpeza dos Tanque</t>
  </si>
  <si>
    <t>GV-2201- Prep solução real dosagem 5 sem</t>
  </si>
  <si>
    <t>TQ-6305:Remover argila do fundo do Tanqu</t>
  </si>
  <si>
    <t>MA-7407_Ap.remover MA da lagoa</t>
  </si>
  <si>
    <t>MA-7407_Ap.instalar MA na lagoa</t>
  </si>
  <si>
    <t>P-6367 Ap.remover Isolamento Tubulção</t>
  </si>
  <si>
    <t>P-6367 Ap. Hidrojato Limpar Componentes/</t>
  </si>
  <si>
    <t>P-6367 Ap.refazer Isolamento de flanges</t>
  </si>
  <si>
    <t>P-6367 Limpar Casco na Area</t>
  </si>
  <si>
    <t>TQ-4704: Quebrar concreto caixa de válvu</t>
  </si>
  <si>
    <t>TQ-4704:Escavar em torno caixa Válvula</t>
  </si>
  <si>
    <t>RACE_VG-I-01 PLQ0007:Ater/Comp terra/sol</t>
  </si>
  <si>
    <t>RACE_VG-I-01 PLQ0007:Esc Trech Sanar2°PT</t>
  </si>
  <si>
    <t>RACE_VG-I-01 PLQ0007:Realiz limp p/solda</t>
  </si>
  <si>
    <t>RACE_VG-I-01 PLQ0007:Realiz ajust de sol</t>
  </si>
  <si>
    <t>CAFOR:Limp.de piso de área  4ª semana</t>
  </si>
  <si>
    <t>CAFOR:Limp.de piso GV's-2201/501 4ª sem.</t>
  </si>
  <si>
    <t>ETA:Limpeza das grades canal captação 1º</t>
  </si>
  <si>
    <t>PLQ 739-AP:Esc Trech Sanar vaz pt02</t>
  </si>
  <si>
    <t>PLQ 739-AP:Esc Trech Sanar vaz pt03</t>
  </si>
  <si>
    <t>$MANG-PLQ 739-AP:Instalar mang/ejetor</t>
  </si>
  <si>
    <t>PLQ 739-AP:Drenar local vazam</t>
  </si>
  <si>
    <t>PLQ 739-AP: Realizar limp p/inst trecho</t>
  </si>
  <si>
    <t>TE - CO1 - Limpeza Area e Pq Bomba</t>
  </si>
  <si>
    <t>TE - CO2 - Limpeza Area e Pq Bomba</t>
  </si>
  <si>
    <t>TE - CO4 - Limpeza Area e Pq Bomba</t>
  </si>
  <si>
    <t>02.02.2026</t>
  </si>
  <si>
    <t>V-6201C Montar barreira p/inst. comporta</t>
  </si>
  <si>
    <t>GV-22501 Inst Sist Ilumin e Exaust Exter</t>
  </si>
  <si>
    <t>GV-22501 Isolar área da região da BV</t>
  </si>
  <si>
    <t>GATR: Realizar drenagem agua c/ Vácuo</t>
  </si>
  <si>
    <t>LIB  PLAN SOCO</t>
  </si>
  <si>
    <t>GATR: PRCO Anexar relatório</t>
  </si>
  <si>
    <t>TQ-4115 Acompanhar drenagem do TQ</t>
  </si>
  <si>
    <t>P-6348A/B Realizar limpeza permutadores</t>
  </si>
  <si>
    <t>$LIMP B-7422: Limpeza mangote sucção.</t>
  </si>
  <si>
    <t>B-7422:  Afogar Mangote</t>
  </si>
  <si>
    <t>$LIMP B-7423: Limpeza mangote sucção.</t>
  </si>
  <si>
    <t>B-7423:  Afogar Mangote</t>
  </si>
  <si>
    <t>$LIMP B-7441: Limpeza mangote sucção.</t>
  </si>
  <si>
    <t>B-7441:  Afogar Mangote</t>
  </si>
  <si>
    <t>MT-4104B-Remover flange cego</t>
  </si>
  <si>
    <t>MT-4104B-Acoplar flange BV e apertar</t>
  </si>
  <si>
    <t>P-6334E: Instalar bipartido</t>
  </si>
  <si>
    <t>MCV-4106_Cortar tubo 4" no suprimento</t>
  </si>
  <si>
    <t>PCV-49013_testar mangueira em bancada</t>
  </si>
  <si>
    <t>PCV-49013_instalar mangueira de vapor</t>
  </si>
  <si>
    <t>PCV-49013_Remover PCV flangear a cego</t>
  </si>
  <si>
    <t>V-4009B:Inst. comp intern/acess/distribu</t>
  </si>
  <si>
    <t>V-4009B:Anexar relatório PRCO</t>
  </si>
  <si>
    <t>P-C-6312B-03PLQ177:Subs Junta de Expansã</t>
  </si>
  <si>
    <t>P-C-6312B-03PLQ177:Emitir relatório PRCO</t>
  </si>
  <si>
    <t>NDEL EXCO</t>
  </si>
  <si>
    <t>R-VE-6151H-AP/ verific integridade base</t>
  </si>
  <si>
    <t>VA-4930: Adequar tela em oficina</t>
  </si>
  <si>
    <t>VA-4930: Reinstalar tela</t>
  </si>
  <si>
    <t>VA-4930: Anexar relatório PRCO</t>
  </si>
  <si>
    <t>VA-4931: Adequar tela / instalar</t>
  </si>
  <si>
    <t>VA-4931: Anexar relatório PRCO</t>
  </si>
  <si>
    <t>TQ-4004: Conectar mangote p/ descarregar</t>
  </si>
  <si>
    <t>TQ-4004: Desconectar mang.pós descarrega</t>
  </si>
  <si>
    <t>P-4102: Montar carretel/flutuante/tampa</t>
  </si>
  <si>
    <t>P-4102: Realizar 2° Teste Hidrostático</t>
  </si>
  <si>
    <t>P-4102: Montar boleado</t>
  </si>
  <si>
    <t>P-4102:Realizar 3° Teste Hidrostático</t>
  </si>
  <si>
    <t>P-4102: Desraquetear entrada e saída</t>
  </si>
  <si>
    <t>P-4102: Remover mangueiras</t>
  </si>
  <si>
    <t>PSV-63345: (PRCO)</t>
  </si>
  <si>
    <t>MCV-46102 Remover volante manual</t>
  </si>
  <si>
    <t>TQ-4006:Acoplar/desacoplar mang/ bomba</t>
  </si>
  <si>
    <t>PSV-40276: Dimensionar  Spool p/ Fabric</t>
  </si>
  <si>
    <t>PSV-40276: Fabric Spool em oficina</t>
  </si>
  <si>
    <t>PSV-40276: Mob/inst Máquina corte frio</t>
  </si>
  <si>
    <t>PSV-40276: Cortar guarda corpo</t>
  </si>
  <si>
    <t>$MANG PSV-40276:Instalar mangueiras</t>
  </si>
  <si>
    <t>PSV-40276:Remover PSV</t>
  </si>
  <si>
    <t>PSV-40276: Mont equipamento corte frio</t>
  </si>
  <si>
    <t>PSV-40276: Realizar corte a frio</t>
  </si>
  <si>
    <t>PSV-40276: Instalar bloqueador de tubo</t>
  </si>
  <si>
    <t>PSV-40276: Realizar instalação de Spool</t>
  </si>
  <si>
    <t>PSV-40276: Instalar PSV</t>
  </si>
  <si>
    <t>XV-62009/PLQ 866_Fabricar suportes</t>
  </si>
  <si>
    <t>XV-62009/PLQ 866_Instalar suportes</t>
  </si>
  <si>
    <t>GV-22501PLQ1729:Realizar PRCO</t>
  </si>
  <si>
    <t>TQ-4111:Remover bloqueio velho</t>
  </si>
  <si>
    <t>TQ-4111:Instalar bloqueio/anel espaçador</t>
  </si>
  <si>
    <t>GV-2201-Inst. Dreno entre bloqueios p</t>
  </si>
  <si>
    <t>MT-4104A-Remover flange cego</t>
  </si>
  <si>
    <t>MT-4104A-Acoplar flange BV e apertar</t>
  </si>
  <si>
    <t>RA-GV-6304 Instalar RA após desobstrução</t>
  </si>
  <si>
    <t>RA-GV-6304 Emitir ralatório PRCO</t>
  </si>
  <si>
    <t>XV-62300_Desobstuir linha</t>
  </si>
  <si>
    <t>BIRUTA-REPLAN-09: PRCO Anexar relatório</t>
  </si>
  <si>
    <t>BL-6201B:Subst.Cilindro de Cloro 2ªsem.</t>
  </si>
  <si>
    <t>RA-GV-6304-02 Desconectar Tubbing</t>
  </si>
  <si>
    <t>RA-GV-6304-02 Emitir relatório PRCO</t>
  </si>
  <si>
    <t>TQ-4704:Instalar bloqueio/anel espaçador</t>
  </si>
  <si>
    <t>GV-22501 - Insp. Queimadores</t>
  </si>
  <si>
    <t>FT-6202: limpeza preventiva1ºsem</t>
  </si>
  <si>
    <t>TQ-7408:Inst placa sinalização escada TQ</t>
  </si>
  <si>
    <t>SP-6211 Dimencionar Suporte p/facricar</t>
  </si>
  <si>
    <t>V-6201C Instalar Cantoneiras p/guia</t>
  </si>
  <si>
    <t>V-6201C Instalar Comporta</t>
  </si>
  <si>
    <t>TQ-7403: Dimensionar barreira</t>
  </si>
  <si>
    <t>TQ-7403: Fabric barreira acesso Cantonei</t>
  </si>
  <si>
    <t>TQ-7403: Instalar barreira acesso teto</t>
  </si>
  <si>
    <t>TQ-7403: PRCO Anexar relatório</t>
  </si>
  <si>
    <t>TQ-7401: Dimensionar barreira</t>
  </si>
  <si>
    <t>TQ-7401: Fabric barreira acesso Cantonei</t>
  </si>
  <si>
    <t>TQ-7401: Instalar barreira acesso teto</t>
  </si>
  <si>
    <t>TQ-7401: PRCO Anexar relatório</t>
  </si>
  <si>
    <t>A-6212A : Remover curva/inst Flange</t>
  </si>
  <si>
    <t>A-6212A : Fabricar spool em oficina</t>
  </si>
  <si>
    <t>A-6212A : Aplicar revestimento interno</t>
  </si>
  <si>
    <t>A-6212A : Remover flange/instalar curva</t>
  </si>
  <si>
    <t>A-6212A : Emitir relatório PRCO</t>
  </si>
  <si>
    <t>P-6334C Remov.tubulação entrada e saida</t>
  </si>
  <si>
    <t>P-6334C Limpeza dos tubos entr/saída</t>
  </si>
  <si>
    <t>P-6334C Montar tubulação entrada e saída</t>
  </si>
  <si>
    <t>P-6348A/ Abrir tampas do carretel p/limp</t>
  </si>
  <si>
    <t>P-6348A/B Fechar tampas  após limpeza</t>
  </si>
  <si>
    <t>P-6348A/B Emitir relatório PRCO</t>
  </si>
  <si>
    <t>B-7422: Remover mangotes p/ limpeza</t>
  </si>
  <si>
    <t>B-7422: Intalar mangote após Limp</t>
  </si>
  <si>
    <t>B-7422: (MCLF) Referente Op. 0040</t>
  </si>
  <si>
    <t>B-7422: PRCO Anexar relatório</t>
  </si>
  <si>
    <t>B-7423: Remover mangotes p/ limpeza</t>
  </si>
  <si>
    <t>B-7423: Intalar mangote após Limp</t>
  </si>
  <si>
    <t>B-7423: (MCLF) Referente Op. 0040</t>
  </si>
  <si>
    <t>B-7423: PRCO Anexar relatório</t>
  </si>
  <si>
    <t>B-7441: Remover mangotes p/ limpeza</t>
  </si>
  <si>
    <t>B-7441: Intalar mangote após Limp</t>
  </si>
  <si>
    <t>B-7441: (MCLF) Referente Op. 0040</t>
  </si>
  <si>
    <t>B-7441: PRCO Anexar relatório</t>
  </si>
  <si>
    <t>B E-6203B PLQ 1124 Sub.sanar vazamento</t>
  </si>
  <si>
    <t>MT-4104B-Adequar berço/travamento mistur</t>
  </si>
  <si>
    <t>MT-4104B-Adequar andaime de acesso</t>
  </si>
  <si>
    <t>TN-6202 Desm and.plataf após manutenção</t>
  </si>
  <si>
    <t>IMPR JBFI LIB  PLAN PWF</t>
  </si>
  <si>
    <t>TN-6202 Desmont pau de carga</t>
  </si>
  <si>
    <t>P-C-6312B-03PLQ177:M.A.AcessoJunta Expan</t>
  </si>
  <si>
    <t>P-C-6312B-03PLQ177:D.A.AcessoJunta Expan</t>
  </si>
  <si>
    <t>SC-7401/Polímero_M.andaime ponto 02</t>
  </si>
  <si>
    <t>VA-4930: Desmontar andaime acesso teto</t>
  </si>
  <si>
    <t>VA-4931: Desmontar andaime acesso teto</t>
  </si>
  <si>
    <t>CH-4801_Desmontar barraca p/cobertura</t>
  </si>
  <si>
    <t>CH-4801_Desmontar andaime para acesso</t>
  </si>
  <si>
    <t>VE-40024_Plataforma de acesso ao Protim</t>
  </si>
  <si>
    <t>SE-480_Montar andaime (1 ponto)</t>
  </si>
  <si>
    <t>SE-480_Montar andaime (2 ponto)</t>
  </si>
  <si>
    <t>U-620_D. T. andaime ponto 10</t>
  </si>
  <si>
    <t>MCV-46102 D.A plataf e pau-de-carga.</t>
  </si>
  <si>
    <t>$MAND PSV-40276:Montar andaime acesso</t>
  </si>
  <si>
    <t>$MAND PSV-40276: M Barraca conf/Escora</t>
  </si>
  <si>
    <t>S-6303E_Desmontar Bancada de Acesso</t>
  </si>
  <si>
    <t>S-6303F_Desmontar Bancada de Acesso</t>
  </si>
  <si>
    <t>$MAND_MM-6201_Montar acesso</t>
  </si>
  <si>
    <t>$MAND_MM-6201_Desmontar acesso</t>
  </si>
  <si>
    <t>$MAND_U-631_M/D. pts de ancoragem</t>
  </si>
  <si>
    <t>U-631_Içar caçamba V-6342A/B PMC</t>
  </si>
  <si>
    <t>U-631_Descer caçamba V-6342A/B PMC</t>
  </si>
  <si>
    <t>S-6303H_Desmontar Bancada de Acesso</t>
  </si>
  <si>
    <t>$MAND TQ-4111: Montar andaime acesso/esc</t>
  </si>
  <si>
    <t>$MAND TQ-4111:Adequar/desmontar pau carg</t>
  </si>
  <si>
    <t>$MAND PI-74145 Desmontar andaime</t>
  </si>
  <si>
    <t>D. Acessos p/troca de trecho</t>
  </si>
  <si>
    <t>B-6301F D.A.barraca de confinamento</t>
  </si>
  <si>
    <t>$MAND_D-6302A M.A. P/rem. tomada LG6319A</t>
  </si>
  <si>
    <t>D-6302B Içar material de andaime</t>
  </si>
  <si>
    <t>PCV-62051 Mont. andaime p/ sub valvula</t>
  </si>
  <si>
    <t>GV-2201-Adequar andaime para limpeza</t>
  </si>
  <si>
    <t>GV-2201- Remover andaime limpeza</t>
  </si>
  <si>
    <t>MT-4104A-Adequar berço/travamento mistur</t>
  </si>
  <si>
    <t>MT-4104A-Adequar andaime de acesso</t>
  </si>
  <si>
    <t>MA-7407_M.A.suporte para aerador</t>
  </si>
  <si>
    <t>MA-7407_Desmontar suporte MA</t>
  </si>
  <si>
    <t>RA-GV-6304-02 M.A.p/ acesso e barrac/con</t>
  </si>
  <si>
    <t>RA-GV-6304-02 D.A.após sub.válvula</t>
  </si>
  <si>
    <t>TQ-4704:Montar pau de carga</t>
  </si>
  <si>
    <t>TQ-4704:Mont and sob Canaleta/Tubulação</t>
  </si>
  <si>
    <t>TQ-4704: Montar andaime acesso/escora</t>
  </si>
  <si>
    <t>B-6151A M.A. acesso /remo.dreno do vent</t>
  </si>
  <si>
    <t>$MAND B-4072A_D.A acesso a caixa ligaçao</t>
  </si>
  <si>
    <t>$MAND B-4072A_Desmont pau de carga</t>
  </si>
  <si>
    <t>$TG-6301ABC_Montar/desm and limpeza 4°se</t>
  </si>
  <si>
    <t>XV-23411_Desmontar bancada de andaime</t>
  </si>
  <si>
    <t>$MAND_MT-4122A_Montar acesso</t>
  </si>
  <si>
    <t>SF-22506A-MA plataf acesso ramonador</t>
  </si>
  <si>
    <t>SF-22506ABCGHI-Ap/ içar caçamba</t>
  </si>
  <si>
    <t>SF-22506B-MA plataf acesso ramonador</t>
  </si>
  <si>
    <t>SF-22506C-MA plataf acesso ramonador</t>
  </si>
  <si>
    <t>SF-22506G-MA plataf acesso ramonador</t>
  </si>
  <si>
    <t>SF-22506H-MA plataf acesso ramonador</t>
  </si>
  <si>
    <t>SF-22506I-MA plataf acesso ramonador</t>
  </si>
  <si>
    <t>SF-22506A-DA plataf acesso ramonador</t>
  </si>
  <si>
    <t>SF-22506B-DA plataf acesso ramonador</t>
  </si>
  <si>
    <t>SF-22506C-DA plataf acesso ramonador</t>
  </si>
  <si>
    <t>B-7356-M.A. plataforma+pau de carga</t>
  </si>
  <si>
    <t>B-7356-Adequar andaime p/ remover bomba</t>
  </si>
  <si>
    <t>$MM-6102-M.A. de acesso a ponte rolante</t>
  </si>
  <si>
    <t>$MAND TQ-7401: Montar andaime acesso</t>
  </si>
  <si>
    <t>$MAND TQ-7401: Desmontar andaime acesso</t>
  </si>
  <si>
    <t>$MANDB-7422:  M andaime de acesso</t>
  </si>
  <si>
    <t>$MANDB-7422: Desmontar andaime de acesso</t>
  </si>
  <si>
    <t>$MANDB-7423:  M andaime de acesso</t>
  </si>
  <si>
    <t>$MANDB-7423: Desmontar andaime de acesso</t>
  </si>
  <si>
    <t>$MANDB-7441:  M andaime de acesso</t>
  </si>
  <si>
    <t>$MANDB-7441: Desmontar andaime de acesso</t>
  </si>
  <si>
    <t>B E-6203B PLQ 1124 M.A.Acesso p/sanar 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</si>
</sst>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1">
    <xf numFmtId="0" fontId="0" fillId="0" borderId="0" xfId="0"/>
    <xf numFmtId="9" fontId="0" fillId="0" borderId="0" xfId="1" applyFont="1"/>
    <xf numFmtId="0" fontId="0" fillId="0" borderId="0" xfId="0" applyAlignment="1">
      <alignment horizontal="center"/>
    </xf>
    <xf numFmtId="9" fontId="0" fillId="0" borderId="0" xfId="1" applyFont="1" applyAlignment="1">
      <alignment horizontal="center"/>
    </xf>
    <xf numFmtId="0" fontId="0" fillId="0" borderId="2" xfId="0" applyBorder="1" applyAlignment="1">
      <alignment horizontal="center"/>
    </xf>
    <xf numFmtId="2" fontId="0" fillId="0" borderId="3" xfId="0" applyNumberFormat="1" applyBorder="1" applyAlignment="1">
      <alignment horizontal="center"/>
    </xf>
    <xf numFmtId="9" fontId="0" fillId="0" borderId="3" xfId="1" applyFont="1" applyBorder="1" applyAlignment="1">
      <alignment horizontal="center"/>
    </xf>
    <xf numFmtId="0" fontId="0" fillId="0" borderId="4" xfId="0" applyBorder="1" applyAlignment="1">
      <alignment horizontal="center"/>
    </xf>
    <xf numFmtId="49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9" fontId="0" fillId="0" borderId="8" xfId="1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3" xfId="0" applyBorder="1" applyAlignment="1">
      <alignment horizontal="center"/>
    </xf>
    <xf numFmtId="2" fontId="0" fillId="0" borderId="14" xfId="0" applyNumberFormat="1" applyBorder="1" applyAlignment="1">
      <alignment horizontal="center"/>
    </xf>
    <xf numFmtId="9" fontId="0" fillId="0" borderId="14" xfId="1" applyFon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 applyAlignment="1">
      <alignment horizontal="center"/>
    </xf>
    <xf numFmtId="9" fontId="0" fillId="0" borderId="0" xfId="1" applyFont="1" applyBorder="1" applyAlignment="1">
      <alignment horizontal="center"/>
    </xf>
    <xf numFmtId="21" fontId="0" fillId="0" borderId="0" xfId="0" applyNumberFormat="1"/>
    <xf numFmtId="46" fontId="0" fillId="0" borderId="0" xfId="0" applyNumberFormat="1"/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2" fillId="2" borderId="10" xfId="0" applyFont="1" applyFill="1" applyBorder="1"/>
    <xf numFmtId="0" fontId="2" fillId="2" borderId="11" xfId="0" applyFont="1" applyFill="1" applyBorder="1"/>
    <xf numFmtId="0" fontId="2" fillId="2" borderId="12" xfId="0" applyFont="1" applyFill="1" applyBorder="1"/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  <xf numFmtId="0" fontId="0" fillId="0" borderId="1" xfId="0" applyBorder="1"/>
    <xf numFmtId="0" fontId="0" fillId="0" borderId="8" xfId="0" applyBorder="1"/>
    <xf numFmtId="0" fontId="0" fillId="0" borderId="7" xfId="0" applyBorder="1"/>
    <xf numFmtId="9" fontId="0" fillId="0" borderId="9" xfId="1" applyFont="1" applyBorder="1"/>
    <xf numFmtId="0" fontId="0" fillId="0" borderId="5" xfId="0" applyBorder="1"/>
    <xf numFmtId="9" fontId="0" fillId="0" borderId="6" xfId="1" applyFont="1" applyBorder="1"/>
    <xf numFmtId="0" fontId="0" fillId="0" borderId="2" xfId="0" applyBorder="1"/>
    <xf numFmtId="0" fontId="0" fillId="0" borderId="3" xfId="0" applyBorder="1"/>
    <xf numFmtId="9" fontId="0" fillId="0" borderId="4" xfId="1" applyFont="1" applyBorder="1"/>
    <xf numFmtId="9" fontId="0" fillId="0" borderId="0" xfId="0" applyNumberFormat="1"/>
    <xf numFmtId="2" fontId="0" fillId="0" borderId="0" xfId="0" applyNumberFormat="1"/>
    <xf numFmtId="10" fontId="0" fillId="0" borderId="0" xfId="1" applyNumberFormat="1" applyFont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4" borderId="12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18" xfId="0" applyFont="1" applyFill="1" applyBorder="1" applyAlignment="1">
      <alignment horizontal="center"/>
    </xf>
    <xf numFmtId="0" fontId="4" fillId="5" borderId="10" xfId="0" applyFont="1" applyFill="1" applyBorder="1" applyAlignment="1">
      <alignment horizontal="center"/>
    </xf>
    <xf numFmtId="0" fontId="4" fillId="5" borderId="11" xfId="0" applyFont="1" applyFill="1" applyBorder="1" applyAlignment="1">
      <alignment horizontal="center"/>
    </xf>
    <xf numFmtId="0" fontId="4" fillId="5" borderId="12" xfId="0" applyFont="1" applyFill="1" applyBorder="1" applyAlignment="1">
      <alignment horizontal="center"/>
    </xf>
    <xf numFmtId="0" fontId="2" fillId="3" borderId="2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3" borderId="12" xfId="0" applyFont="1" applyFill="1" applyBorder="1" applyAlignment="1">
      <alignment horizontal="center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AUSETU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F0C-4DDF-9FD4-EC5E6AF05C72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BF0C-4DDF-9FD4-EC5E6AF05C72}"/>
              </c:ext>
            </c:extLst>
          </c:dPt>
          <c:dLbls>
            <c:dLbl>
              <c:idx val="0"/>
              <c:layout>
                <c:manualLayout>
                  <c:x val="-1.6666666666666666E-2"/>
                  <c:y val="0.125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TRANSF. ESTOC</a:t>
                    </a:r>
                  </a:p>
                  <a:p>
                    <a:pPr>
                      <a:defRPr/>
                    </a:pPr>
                    <a:fld id="{331AE388-2D3E-4304-A07B-15595F3D4394}" type="VALUE">
                      <a:rPr lang="en-US" sz="1200" baseline="0"/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544444444444444"/>
                      <c:h val="0.2472918489355497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BF0C-4DDF-9FD4-EC5E6AF05C72}"/>
                </c:ext>
              </c:extLst>
            </c:dLbl>
            <c:dLbl>
              <c:idx val="1"/>
              <c:layout>
                <c:manualLayout>
                  <c:x val="-4.8758530183727035E-2"/>
                  <c:y val="-0.19247338874307379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</a:rPr>
                      <a:t>UTILIDADES</a:t>
                    </a:r>
                  </a:p>
                  <a:p>
                    <a:pPr>
                      <a:defRPr>
                        <a:ln w="6350">
                          <a:noFill/>
                        </a:ln>
                        <a:solidFill>
                          <a:schemeClr val="tx1"/>
                        </a:solidFill>
                      </a:defRPr>
                    </a:pPr>
                    <a:fld id="{0A892B13-8099-4798-B694-56363910416C}" type="VALUE">
                      <a:rPr lang="en-US" sz="1200" baseline="0">
                        <a:ln w="6350">
                          <a:noFill/>
                        </a:ln>
                        <a:solidFill>
                          <a:schemeClr val="tx1"/>
                        </a:solidFill>
                      </a:rPr>
                      <a:pPr>
                        <a:defRPr>
                          <a:ln w="6350">
                            <a:noFill/>
                          </a:ln>
                          <a:solidFill>
                            <a:schemeClr val="tx1"/>
                          </a:solidFill>
                        </a:defRPr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ln w="6350">
                        <a:noFill/>
                      </a:ln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BF0C-4DDF-9FD4-EC5E6AF05C7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NIVELADAS!$K$20:$K$21</c:f>
              <c:numCache>
                <c:formatCode>0%</c:formatCode>
                <c:ptCount val="2"/>
                <c:pt idx="0">
                  <c:v>0.5377807381446249</c:v>
                </c:pt>
                <c:pt idx="1">
                  <c:v>0.53693517094628429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0C-4DDF-9FD4-EC5E6AF05C7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CALDTU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9B7-451B-B2AE-959367E12B85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9B7-451B-B2AE-959367E12B85}"/>
              </c:ext>
            </c:extLst>
          </c:dPt>
          <c:dLbls>
            <c:dLbl>
              <c:idx val="0"/>
              <c:layout>
                <c:manualLayout>
                  <c:x val="-1.2904883728055485E-2"/>
                  <c:y val="0.14426885146299256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1200" baseline="0"/>
                      <a:t>TRANSF. ESTOC</a:t>
                    </a:r>
                  </a:p>
                  <a:p>
                    <a:pPr>
                      <a:defRPr/>
                    </a:pPr>
                    <a:fld id="{BB5E757A-3CC5-4511-85A9-634DEA21503D}" type="VALUE">
                      <a:rPr lang="en-US" sz="1200" baseline="0"/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798288346252439"/>
                      <c:h val="0.29949060464660343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39B7-451B-B2AE-959367E12B85}"/>
                </c:ext>
              </c:extLst>
            </c:dLbl>
            <c:dLbl>
              <c:idx val="1"/>
              <c:layout>
                <c:manualLayout>
                  <c:x val="-3.0034339457567803E-2"/>
                  <c:y val="-0.11723097112860902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UTILIDADES</a:t>
                    </a:r>
                  </a:p>
                  <a:p>
                    <a:fld id="{D4C97AB3-ABBC-457B-A001-5D396A312670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0"/>
              <c:showCatName val="0"/>
              <c:showSerName val="1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39B7-451B-B2AE-959367E12B8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NIVELADAS!$K$31:$K$32</c:f>
              <c:numCache>
                <c:formatCode>0%</c:formatCode>
                <c:ptCount val="2"/>
                <c:pt idx="0">
                  <c:v>0.83057754140420714</c:v>
                </c:pt>
                <c:pt idx="1">
                  <c:v>0.37612977566896372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7-451B-B2AE-959367E12B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MANDTU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65-4575-9950-9E071C353CD3}"/>
              </c:ext>
            </c:extLst>
          </c:dPt>
          <c:dPt>
            <c:idx val="1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5465-4575-9950-9E071C353CD3}"/>
              </c:ext>
            </c:extLst>
          </c:dPt>
          <c:dLbls>
            <c:dLbl>
              <c:idx val="0"/>
              <c:layout>
                <c:manualLayout>
                  <c:x val="-2.4308836395450567E-3"/>
                  <c:y val="5.5936511216625802E-2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TRANSF. ESTOC.</a:t>
                    </a:r>
                  </a:p>
                  <a:p>
                    <a:fld id="{1A65FD0C-2977-4BF3-938E-C1F11CED36C9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8868044619422573"/>
                      <c:h val="0.21693068179461641"/>
                    </c:manualLayout>
                  </c15:layout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5465-4575-9950-9E071C353CD3}"/>
                </c:ext>
              </c:extLst>
            </c:dLbl>
            <c:dLbl>
              <c:idx val="1"/>
              <c:layout>
                <c:manualLayout>
                  <c:x val="-7.8852362204724386E-2"/>
                  <c:y val="-0.15260571595217265"/>
                </c:manualLayout>
              </c:layout>
              <c:tx>
                <c:rich>
                  <a:bodyPr/>
                  <a:lstStyle/>
                  <a:p>
                    <a:r>
                      <a:rPr lang="en-US" sz="1200"/>
                      <a:t>UTILIDADES</a:t>
                    </a:r>
                  </a:p>
                  <a:p>
                    <a:fld id="{E9B9BE1E-5C87-4E2F-93CC-DDA6A6200A77}" type="VALUE">
                      <a:rPr lang="en-US" sz="1200"/>
                      <a:pPr/>
                      <a:t>[VALOR]</a:t>
                    </a:fld>
                    <a:endParaRPr lang="pt-BR"/>
                  </a:p>
                </c:rich>
              </c:tx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5465-4575-9950-9E071C353CD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val>
            <c:numRef>
              <c:f>NIVELADAS!$K$42:$K$43</c:f>
              <c:numCache>
                <c:formatCode>0%</c:formatCode>
                <c:ptCount val="2"/>
                <c:pt idx="0">
                  <c:v>0.36209347783815871</c:v>
                </c:pt>
                <c:pt idx="1">
                  <c:v>0.56059050484582396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65-4575-9950-9E071C353CD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33336</xdr:colOff>
      <xdr:row>18</xdr:row>
      <xdr:rowOff>23812</xdr:rowOff>
    </xdr:from>
    <xdr:to>
      <xdr:col>6</xdr:col>
      <xdr:colOff>600074</xdr:colOff>
      <xdr:row>27</xdr:row>
      <xdr:rowOff>133350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31B5C54-BD7E-5A63-24E1-F018DA9BEE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28575</xdr:colOff>
      <xdr:row>29</xdr:row>
      <xdr:rowOff>61913</xdr:rowOff>
    </xdr:from>
    <xdr:to>
      <xdr:col>6</xdr:col>
      <xdr:colOff>609600</xdr:colOff>
      <xdr:row>38</xdr:row>
      <xdr:rowOff>133350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0BEA187-9334-6B7E-3CBA-7C2B6C59A8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35378</xdr:colOff>
      <xdr:row>40</xdr:row>
      <xdr:rowOff>22451</xdr:rowOff>
    </xdr:from>
    <xdr:to>
      <xdr:col>6</xdr:col>
      <xdr:colOff>619125</xdr:colOff>
      <xdr:row>49</xdr:row>
      <xdr:rowOff>190500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C780183B-9ACE-2865-C021-B5F63471E2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FEB0F-201B-4C1F-AD80-660312F18908}">
  <sheetPr codeName="Planilha1">
    <tabColor rgb="FFFF0000"/>
  </sheetPr>
  <dimension ref="B1:AD52"/>
  <sheetViews>
    <sheetView zoomScale="85" zoomScaleNormal="85" workbookViewId="0">
      <selection activeCell="E14" sqref="E14"/>
    </sheetView>
  </sheetViews>
  <sheetFormatPr defaultColWidth="9.140625" defaultRowHeight="15" x14ac:dyDescent="0.25"/>
  <cols>
    <col min="2" max="2" width="8.7109375" bestFit="1" customWidth="1"/>
    <col min="3" max="3" width="14.42578125" bestFit="1" customWidth="1"/>
    <col min="4" max="4" width="15.28515625" bestFit="1" customWidth="1"/>
    <col min="5" max="5" width="7.42578125" bestFit="1" customWidth="1"/>
    <col min="6" max="6" width="18.85546875" bestFit="1" customWidth="1"/>
    <col min="7" max="7" width="9.85546875" customWidth="1"/>
    <col min="8" max="8" width="9.85546875" style="1" customWidth="1"/>
    <col min="10" max="10" width="10.28515625" bestFit="1" customWidth="1"/>
    <col min="11" max="11" width="14.42578125" style="1" bestFit="1" customWidth="1"/>
    <col min="12" max="12" width="11.85546875" bestFit="1" customWidth="1"/>
    <col min="23" max="23" width="11.28515625" bestFit="1" customWidth="1"/>
  </cols>
  <sheetData>
    <row r="1" spans="2:30" ht="15.75" thickBot="1" x14ac:dyDescent="0.3"/>
    <row r="2" spans="2:30" ht="21.75" thickBot="1" x14ac:dyDescent="0.4">
      <c r="B2" s="62" t="s">
        <v>8</v>
      </c>
      <c r="C2" s="63"/>
      <c r="D2" s="63"/>
      <c r="E2" s="63"/>
      <c r="F2" s="63"/>
      <c r="G2" s="64"/>
    </row>
    <row r="3" spans="2:30" ht="15.75" thickBot="1" x14ac:dyDescent="0.3">
      <c r="B3" s="24" t="s">
        <v>0</v>
      </c>
      <c r="C3" s="25" t="s">
        <v>1</v>
      </c>
      <c r="D3" s="25" t="s">
        <v>2</v>
      </c>
      <c r="E3" s="25" t="s">
        <v>3</v>
      </c>
      <c r="F3" s="25" t="s">
        <v>4</v>
      </c>
      <c r="G3" s="26" t="s">
        <v>5</v>
      </c>
    </row>
    <row r="4" spans="2:30" x14ac:dyDescent="0.25">
      <c r="B4" s="8" t="s">
        <v>43</v>
      </c>
      <c r="C4" s="9">
        <v>756.6</v>
      </c>
      <c r="D4" s="9">
        <v>704</v>
      </c>
      <c r="E4" s="10">
        <f>C4/D4</f>
        <v>1.0747159090909091</v>
      </c>
      <c r="F4" s="9">
        <f>D4-C4</f>
        <v>-52.600000000000023</v>
      </c>
      <c r="G4" s="11" t="s">
        <v>7</v>
      </c>
    </row>
    <row r="5" spans="2:30" s="2" customFormat="1" ht="15.75" thickBot="1" x14ac:dyDescent="0.3">
      <c r="B5" s="12" t="s">
        <v>6</v>
      </c>
      <c r="C5" s="13">
        <f>C4</f>
        <v>756.6</v>
      </c>
      <c r="D5" s="13">
        <f>D4</f>
        <v>704</v>
      </c>
      <c r="E5" s="14">
        <f>E4</f>
        <v>1.0747159090909091</v>
      </c>
      <c r="F5" s="13">
        <f>F4</f>
        <v>-52.600000000000023</v>
      </c>
      <c r="G5" s="15" t="str">
        <f>G4</f>
        <v>H</v>
      </c>
      <c r="H5" s="1"/>
      <c r="K5" s="3"/>
    </row>
    <row r="6" spans="2:30" s="2" customFormat="1" ht="15.75" thickBot="1" x14ac:dyDescent="0.3">
      <c r="B6" s="20"/>
      <c r="C6" s="16"/>
      <c r="D6" s="16"/>
      <c r="E6" s="17"/>
      <c r="F6" s="16"/>
      <c r="G6" s="21"/>
      <c r="H6" s="1"/>
      <c r="K6" s="3"/>
    </row>
    <row r="7" spans="2:30" ht="21.75" thickBot="1" x14ac:dyDescent="0.4">
      <c r="B7" s="62" t="s">
        <v>9</v>
      </c>
      <c r="C7" s="63"/>
      <c r="D7" s="63"/>
      <c r="E7" s="63"/>
      <c r="F7" s="63"/>
      <c r="G7" s="64"/>
    </row>
    <row r="8" spans="2:30" ht="15.75" thickBot="1" x14ac:dyDescent="0.3">
      <c r="B8" s="24" t="s">
        <v>0</v>
      </c>
      <c r="C8" s="25" t="s">
        <v>1</v>
      </c>
      <c r="D8" s="25" t="s">
        <v>2</v>
      </c>
      <c r="E8" s="25" t="s">
        <v>3</v>
      </c>
      <c r="F8" s="25" t="s">
        <v>4</v>
      </c>
      <c r="G8" s="26" t="s">
        <v>5</v>
      </c>
    </row>
    <row r="9" spans="2:30" x14ac:dyDescent="0.25">
      <c r="B9" s="8" t="s">
        <v>43</v>
      </c>
      <c r="C9" s="9">
        <v>593.70000000000005</v>
      </c>
      <c r="D9" s="9">
        <v>492</v>
      </c>
      <c r="E9" s="10">
        <f>C9/D9</f>
        <v>1.2067073170731708</v>
      </c>
      <c r="F9" s="9">
        <f>D9-C9</f>
        <v>-101.70000000000005</v>
      </c>
      <c r="G9" s="11" t="s">
        <v>7</v>
      </c>
    </row>
    <row r="10" spans="2:30" ht="15.75" thickBot="1" x14ac:dyDescent="0.3">
      <c r="B10" s="4" t="s">
        <v>6</v>
      </c>
      <c r="C10" s="5">
        <f>C9</f>
        <v>593.70000000000005</v>
      </c>
      <c r="D10" s="5">
        <f>D9</f>
        <v>492</v>
      </c>
      <c r="E10" s="6">
        <f>E9</f>
        <v>1.2067073170731708</v>
      </c>
      <c r="F10" s="5">
        <f>F9</f>
        <v>-101.70000000000005</v>
      </c>
      <c r="G10" s="7" t="str">
        <f>G9</f>
        <v>H</v>
      </c>
    </row>
    <row r="11" spans="2:30" ht="15.75" thickBot="1" x14ac:dyDescent="0.3">
      <c r="B11" s="22"/>
      <c r="G11" s="23"/>
    </row>
    <row r="12" spans="2:30" ht="21.75" thickBot="1" x14ac:dyDescent="0.4">
      <c r="B12" s="62" t="s">
        <v>10</v>
      </c>
      <c r="C12" s="63"/>
      <c r="D12" s="63"/>
      <c r="E12" s="63"/>
      <c r="F12" s="63"/>
      <c r="G12" s="64"/>
      <c r="AD12" t="s">
        <v>41</v>
      </c>
    </row>
    <row r="13" spans="2:30" ht="15.75" thickBot="1" x14ac:dyDescent="0.3">
      <c r="B13" s="24" t="s">
        <v>0</v>
      </c>
      <c r="C13" s="25" t="s">
        <v>1</v>
      </c>
      <c r="D13" s="25" t="s">
        <v>2</v>
      </c>
      <c r="E13" s="25" t="s">
        <v>3</v>
      </c>
      <c r="F13" s="25" t="s">
        <v>4</v>
      </c>
      <c r="G13" s="26" t="s">
        <v>5</v>
      </c>
    </row>
    <row r="14" spans="2:30" x14ac:dyDescent="0.25">
      <c r="B14" s="8" t="s">
        <v>43</v>
      </c>
      <c r="C14" s="9">
        <v>852.56</v>
      </c>
      <c r="D14" s="9">
        <v>924</v>
      </c>
      <c r="E14" s="10">
        <f>C14/D14</f>
        <v>0.92268398268398266</v>
      </c>
      <c r="F14" s="9">
        <f>D14-C14</f>
        <v>71.440000000000055</v>
      </c>
      <c r="G14" s="11" t="s">
        <v>7</v>
      </c>
    </row>
    <row r="15" spans="2:30" ht="15.75" thickBot="1" x14ac:dyDescent="0.3">
      <c r="B15" s="4" t="s">
        <v>6</v>
      </c>
      <c r="C15" s="5">
        <f>C14</f>
        <v>852.56</v>
      </c>
      <c r="D15" s="5">
        <f>D14</f>
        <v>924</v>
      </c>
      <c r="E15" s="6">
        <f>E14</f>
        <v>0.92268398268398266</v>
      </c>
      <c r="F15" s="5">
        <f>F14</f>
        <v>71.440000000000055</v>
      </c>
      <c r="G15" s="7" t="str">
        <f>G14</f>
        <v>H</v>
      </c>
    </row>
    <row r="16" spans="2:30" ht="15.75" thickBot="1" x14ac:dyDescent="0.3"/>
    <row r="17" spans="2:11" ht="15.75" thickBot="1" x14ac:dyDescent="0.3">
      <c r="B17" s="65" t="s">
        <v>24</v>
      </c>
      <c r="C17" s="66"/>
      <c r="D17" s="67"/>
      <c r="E17" s="68" t="s">
        <v>25</v>
      </c>
      <c r="F17" s="69"/>
      <c r="G17" s="70"/>
    </row>
    <row r="18" spans="2:11" ht="15.75" thickBot="1" x14ac:dyDescent="0.3">
      <c r="B18" s="53" t="s">
        <v>8</v>
      </c>
      <c r="C18" s="54"/>
      <c r="D18" s="54"/>
      <c r="E18" s="54"/>
      <c r="F18" s="54"/>
      <c r="G18" s="55"/>
      <c r="I18" s="56" t="s">
        <v>8</v>
      </c>
      <c r="J18" s="57"/>
      <c r="K18" s="58"/>
    </row>
    <row r="19" spans="2:11" x14ac:dyDescent="0.25">
      <c r="B19" s="44"/>
      <c r="C19" s="45"/>
      <c r="D19" s="45"/>
      <c r="E19" s="45"/>
      <c r="F19" s="45"/>
      <c r="G19" s="46"/>
      <c r="I19" s="34" t="s">
        <v>38</v>
      </c>
      <c r="J19" s="33">
        <f>SUM(J20:J21)</f>
        <v>762.59999999999991</v>
      </c>
      <c r="K19" s="35">
        <f>E4</f>
        <v>1.0747159090909091</v>
      </c>
    </row>
    <row r="20" spans="2:11" x14ac:dyDescent="0.25">
      <c r="B20" s="47"/>
      <c r="C20" s="48"/>
      <c r="D20" s="48"/>
      <c r="E20" s="48"/>
      <c r="F20" s="48"/>
      <c r="G20" s="49"/>
      <c r="I20" s="36" t="s">
        <v>36</v>
      </c>
      <c r="J20" s="32">
        <f>'AUSETU T.E'!H1</f>
        <v>381.59999999999997</v>
      </c>
      <c r="K20" s="37">
        <f>J20*K19/J19</f>
        <v>0.5377807381446249</v>
      </c>
    </row>
    <row r="21" spans="2:11" ht="15.75" thickBot="1" x14ac:dyDescent="0.3">
      <c r="B21" s="47"/>
      <c r="C21" s="48"/>
      <c r="D21" s="48"/>
      <c r="E21" s="48"/>
      <c r="F21" s="48"/>
      <c r="G21" s="49"/>
      <c r="I21" s="38" t="s">
        <v>37</v>
      </c>
      <c r="J21" s="39">
        <f>'AUSETU UT'!H1</f>
        <v>381</v>
      </c>
      <c r="K21" s="40">
        <f>J21*K19/J19</f>
        <v>0.53693517094628429</v>
      </c>
    </row>
    <row r="22" spans="2:11" x14ac:dyDescent="0.25">
      <c r="B22" s="47"/>
      <c r="C22" s="48"/>
      <c r="D22" s="48"/>
      <c r="E22" s="48"/>
      <c r="F22" s="48"/>
      <c r="G22" s="49"/>
    </row>
    <row r="23" spans="2:11" x14ac:dyDescent="0.25">
      <c r="B23" s="47"/>
      <c r="C23" s="48"/>
      <c r="D23" s="48"/>
      <c r="E23" s="48"/>
      <c r="F23" s="48"/>
      <c r="G23" s="49"/>
    </row>
    <row r="24" spans="2:11" x14ac:dyDescent="0.25">
      <c r="B24" s="47"/>
      <c r="C24" s="48"/>
      <c r="D24" s="48"/>
      <c r="E24" s="48"/>
      <c r="F24" s="48"/>
      <c r="G24" s="49"/>
    </row>
    <row r="25" spans="2:11" x14ac:dyDescent="0.25">
      <c r="B25" s="47"/>
      <c r="C25" s="48"/>
      <c r="D25" s="48"/>
      <c r="E25" s="48"/>
      <c r="F25" s="48"/>
      <c r="G25" s="49"/>
    </row>
    <row r="26" spans="2:11" x14ac:dyDescent="0.25">
      <c r="B26" s="47"/>
      <c r="C26" s="48"/>
      <c r="D26" s="48"/>
      <c r="E26" s="48"/>
      <c r="F26" s="48"/>
      <c r="G26" s="49"/>
    </row>
    <row r="27" spans="2:11" x14ac:dyDescent="0.25">
      <c r="B27" s="47"/>
      <c r="C27" s="48"/>
      <c r="D27" s="48"/>
      <c r="E27" s="48"/>
      <c r="F27" s="48"/>
      <c r="G27" s="49"/>
    </row>
    <row r="28" spans="2:11" ht="15.75" thickBot="1" x14ac:dyDescent="0.3">
      <c r="B28" s="59"/>
      <c r="C28" s="60"/>
      <c r="D28" s="60"/>
      <c r="E28" s="60"/>
      <c r="F28" s="60"/>
      <c r="G28" s="61"/>
    </row>
    <row r="29" spans="2:11" ht="15.75" thickBot="1" x14ac:dyDescent="0.3">
      <c r="B29" s="53" t="s">
        <v>9</v>
      </c>
      <c r="C29" s="54"/>
      <c r="D29" s="54"/>
      <c r="E29" s="54"/>
      <c r="F29" s="54"/>
      <c r="G29" s="55"/>
      <c r="I29" s="56" t="s">
        <v>9</v>
      </c>
      <c r="J29" s="57"/>
      <c r="K29" s="58"/>
    </row>
    <row r="30" spans="2:11" x14ac:dyDescent="0.25">
      <c r="B30" s="44"/>
      <c r="C30" s="45"/>
      <c r="D30" s="45"/>
      <c r="E30" s="45"/>
      <c r="F30" s="45"/>
      <c r="G30" s="46"/>
      <c r="I30" s="34" t="s">
        <v>38</v>
      </c>
      <c r="J30" s="33">
        <f>SUM(J31:J32)</f>
        <v>593.19999999999993</v>
      </c>
      <c r="K30" s="35">
        <f>E9</f>
        <v>1.2067073170731708</v>
      </c>
    </row>
    <row r="31" spans="2:11" x14ac:dyDescent="0.25">
      <c r="B31" s="47"/>
      <c r="C31" s="48"/>
      <c r="D31" s="48"/>
      <c r="E31" s="48"/>
      <c r="F31" s="48"/>
      <c r="G31" s="49"/>
      <c r="I31" s="36" t="s">
        <v>36</v>
      </c>
      <c r="J31" s="32">
        <f>'CALDTU T.E'!H1</f>
        <v>408.29999999999995</v>
      </c>
      <c r="K31" s="37">
        <f>J31*K30/J30</f>
        <v>0.83057754140420714</v>
      </c>
    </row>
    <row r="32" spans="2:11" ht="15.75" thickBot="1" x14ac:dyDescent="0.3">
      <c r="B32" s="47"/>
      <c r="C32" s="48"/>
      <c r="D32" s="48"/>
      <c r="E32" s="48"/>
      <c r="F32" s="48"/>
      <c r="G32" s="49"/>
      <c r="I32" s="38" t="s">
        <v>37</v>
      </c>
      <c r="J32" s="39">
        <f>'CALDTU UT'!H1</f>
        <v>184.89999999999998</v>
      </c>
      <c r="K32" s="40">
        <f>J32*K30/J30</f>
        <v>0.37612977566896372</v>
      </c>
    </row>
    <row r="33" spans="2:15" x14ac:dyDescent="0.25">
      <c r="B33" s="47"/>
      <c r="C33" s="48"/>
      <c r="D33" s="48"/>
      <c r="E33" s="48"/>
      <c r="F33" s="48"/>
      <c r="G33" s="49"/>
    </row>
    <row r="34" spans="2:15" x14ac:dyDescent="0.25">
      <c r="B34" s="47"/>
      <c r="C34" s="48"/>
      <c r="D34" s="48"/>
      <c r="E34" s="48"/>
      <c r="F34" s="48"/>
      <c r="G34" s="49"/>
    </row>
    <row r="35" spans="2:15" x14ac:dyDescent="0.25">
      <c r="B35" s="47"/>
      <c r="C35" s="48"/>
      <c r="D35" s="48"/>
      <c r="E35" s="48"/>
      <c r="F35" s="48"/>
      <c r="G35" s="49"/>
    </row>
    <row r="36" spans="2:15" x14ac:dyDescent="0.25">
      <c r="B36" s="47"/>
      <c r="C36" s="48"/>
      <c r="D36" s="48"/>
      <c r="E36" s="48"/>
      <c r="F36" s="48"/>
      <c r="G36" s="49"/>
    </row>
    <row r="37" spans="2:15" x14ac:dyDescent="0.25">
      <c r="B37" s="47"/>
      <c r="C37" s="48"/>
      <c r="D37" s="48"/>
      <c r="E37" s="48"/>
      <c r="F37" s="48"/>
      <c r="G37" s="49"/>
    </row>
    <row r="38" spans="2:15" x14ac:dyDescent="0.25">
      <c r="B38" s="47"/>
      <c r="C38" s="48"/>
      <c r="D38" s="48"/>
      <c r="E38" s="48"/>
      <c r="F38" s="48"/>
      <c r="G38" s="49"/>
    </row>
    <row r="39" spans="2:15" ht="15.75" thickBot="1" x14ac:dyDescent="0.3">
      <c r="B39" s="59"/>
      <c r="C39" s="60"/>
      <c r="D39" s="60"/>
      <c r="E39" s="60"/>
      <c r="F39" s="60"/>
      <c r="G39" s="61"/>
    </row>
    <row r="40" spans="2:15" ht="15.75" thickBot="1" x14ac:dyDescent="0.3">
      <c r="B40" s="53" t="s">
        <v>10</v>
      </c>
      <c r="C40" s="54"/>
      <c r="D40" s="54"/>
      <c r="E40" s="54"/>
      <c r="F40" s="54"/>
      <c r="G40" s="55"/>
      <c r="I40" s="56" t="s">
        <v>10</v>
      </c>
      <c r="J40" s="57"/>
      <c r="K40" s="58"/>
    </row>
    <row r="41" spans="2:15" x14ac:dyDescent="0.25">
      <c r="B41" s="44"/>
      <c r="C41" s="45"/>
      <c r="D41" s="45"/>
      <c r="E41" s="45"/>
      <c r="F41" s="45"/>
      <c r="G41" s="46"/>
      <c r="I41" s="34" t="s">
        <v>38</v>
      </c>
      <c r="J41" s="33">
        <f>SUM(J42:J43)</f>
        <v>846</v>
      </c>
      <c r="K41" s="35">
        <f>E14</f>
        <v>0.92268398268398266</v>
      </c>
    </row>
    <row r="42" spans="2:15" x14ac:dyDescent="0.25">
      <c r="B42" s="47"/>
      <c r="C42" s="48"/>
      <c r="D42" s="48"/>
      <c r="E42" s="48"/>
      <c r="F42" s="48"/>
      <c r="G42" s="49"/>
      <c r="I42" s="36" t="s">
        <v>36</v>
      </c>
      <c r="J42" s="32">
        <f>'MANDTU T.E'!H1</f>
        <v>332</v>
      </c>
      <c r="K42" s="37">
        <f>K41*J42/J41</f>
        <v>0.36209347783815871</v>
      </c>
    </row>
    <row r="43" spans="2:15" ht="15.75" thickBot="1" x14ac:dyDescent="0.3">
      <c r="B43" s="47"/>
      <c r="C43" s="48"/>
      <c r="D43" s="48"/>
      <c r="E43" s="48"/>
      <c r="F43" s="48"/>
      <c r="G43" s="49"/>
      <c r="I43" s="38" t="s">
        <v>37</v>
      </c>
      <c r="J43" s="39">
        <f>'MANDTU UT'!H1</f>
        <v>514</v>
      </c>
      <c r="K43" s="40">
        <f>K41*J43/J41</f>
        <v>0.56059050484582396</v>
      </c>
    </row>
    <row r="44" spans="2:15" x14ac:dyDescent="0.25">
      <c r="B44" s="47"/>
      <c r="C44" s="48"/>
      <c r="D44" s="48"/>
      <c r="E44" s="48"/>
      <c r="F44" s="48"/>
      <c r="G44" s="49"/>
      <c r="N44">
        <v>100</v>
      </c>
      <c r="O44" s="41">
        <f>SUM(J47+J48)</f>
        <v>1.2470141265981156</v>
      </c>
    </row>
    <row r="45" spans="2:15" ht="15.75" thickBot="1" x14ac:dyDescent="0.3">
      <c r="B45" s="47"/>
      <c r="C45" s="48"/>
      <c r="D45" s="48"/>
      <c r="E45" s="48"/>
      <c r="F45" s="48"/>
      <c r="G45" s="49"/>
      <c r="O45" s="42">
        <f>J47*N44</f>
        <v>75.57956427777583</v>
      </c>
    </row>
    <row r="46" spans="2:15" ht="15.75" thickBot="1" x14ac:dyDescent="0.3">
      <c r="B46" s="47"/>
      <c r="C46" s="48"/>
      <c r="D46" s="48"/>
      <c r="E46" s="48"/>
      <c r="F46" s="48"/>
      <c r="G46" s="49"/>
      <c r="I46" s="56" t="s">
        <v>38</v>
      </c>
      <c r="J46" s="57"/>
      <c r="K46" s="58"/>
      <c r="O46" s="42">
        <f>J48*N44</f>
        <v>49.121848382035729</v>
      </c>
    </row>
    <row r="47" spans="2:15" x14ac:dyDescent="0.25">
      <c r="B47" s="47"/>
      <c r="C47" s="48"/>
      <c r="D47" s="48"/>
      <c r="E47" s="48"/>
      <c r="F47" s="48"/>
      <c r="G47" s="49"/>
      <c r="I47" s="36" t="s">
        <v>36</v>
      </c>
      <c r="J47" s="41">
        <f>SUM(K19+K31+K42)/3</f>
        <v>0.75579564277775824</v>
      </c>
      <c r="K47" s="1">
        <f>K51</f>
        <v>0.6060842669357619</v>
      </c>
    </row>
    <row r="48" spans="2:15" ht="15.75" thickBot="1" x14ac:dyDescent="0.3">
      <c r="B48" s="47"/>
      <c r="C48" s="48"/>
      <c r="D48" s="48"/>
      <c r="E48" s="48"/>
      <c r="F48" s="48"/>
      <c r="G48" s="49"/>
      <c r="I48" s="38" t="s">
        <v>37</v>
      </c>
      <c r="J48" s="41">
        <f>SUM(K21+K32+K43)/3</f>
        <v>0.49121848382035732</v>
      </c>
    </row>
    <row r="49" spans="2:14" ht="15.75" thickBot="1" x14ac:dyDescent="0.3">
      <c r="B49" s="47"/>
      <c r="C49" s="48"/>
      <c r="D49" s="48"/>
      <c r="E49" s="48"/>
      <c r="F49" s="48"/>
      <c r="G49" s="49"/>
    </row>
    <row r="50" spans="2:14" ht="15.75" thickBot="1" x14ac:dyDescent="0.3">
      <c r="B50" s="50"/>
      <c r="C50" s="51"/>
      <c r="D50" s="51"/>
      <c r="E50" s="51"/>
      <c r="F50" s="51"/>
      <c r="G50" s="52"/>
      <c r="I50" s="56" t="s">
        <v>38</v>
      </c>
      <c r="J50" s="57"/>
      <c r="K50" s="58"/>
      <c r="N50" s="41"/>
    </row>
    <row r="51" spans="2:14" x14ac:dyDescent="0.25">
      <c r="I51" s="36" t="s">
        <v>36</v>
      </c>
      <c r="K51" s="43">
        <f>O45/O44/100</f>
        <v>0.6060842669357619</v>
      </c>
    </row>
    <row r="52" spans="2:14" ht="15.75" thickBot="1" x14ac:dyDescent="0.3">
      <c r="I52" s="38" t="s">
        <v>37</v>
      </c>
      <c r="K52" s="43">
        <f>O46/O44/100</f>
        <v>0.3939157330642381</v>
      </c>
    </row>
  </sheetData>
  <mergeCells count="16">
    <mergeCell ref="B2:G2"/>
    <mergeCell ref="B7:G7"/>
    <mergeCell ref="B12:G12"/>
    <mergeCell ref="B17:D17"/>
    <mergeCell ref="E17:G17"/>
    <mergeCell ref="B41:G50"/>
    <mergeCell ref="B40:G40"/>
    <mergeCell ref="I46:K46"/>
    <mergeCell ref="B18:G18"/>
    <mergeCell ref="I18:K18"/>
    <mergeCell ref="I29:K29"/>
    <mergeCell ref="I40:K40"/>
    <mergeCell ref="B29:G29"/>
    <mergeCell ref="B19:G28"/>
    <mergeCell ref="B30:G39"/>
    <mergeCell ref="I50:K50"/>
  </mergeCells>
  <conditionalFormatting sqref="F51:F1048576 F1:F16">
    <cfRule type="colorScale" priority="1">
      <colorScale>
        <cfvo type="min"/>
        <cfvo type="num" val="0"/>
        <cfvo type="max"/>
        <color rgb="FFF8696B"/>
        <color theme="0"/>
        <color rgb="FF63BE7B"/>
      </colorScale>
    </cfRule>
    <cfRule type="colorScale" priority="2">
      <colorScale>
        <cfvo type="min"/>
        <cfvo type="percentile" val="0"/>
        <cfvo type="max"/>
        <color rgb="FFFF0000"/>
        <color theme="0"/>
        <color theme="9" tint="0.39997558519241921"/>
      </colorScale>
    </cfRule>
    <cfRule type="colorScale" priority="3">
      <colorScale>
        <cfvo type="min"/>
        <cfvo type="max"/>
        <color rgb="FFFF5050"/>
        <color theme="9" tint="0.39997558519241921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&amp;L_x000D_&amp;1#&amp;"Trebuchet MS"&amp;9&amp;K737373 PÚBLICA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C7EA4-60E8-4882-BC59-4B8183AC4EB7}">
  <sheetPr codeName="Planilha2">
    <tabColor rgb="FF00B050"/>
  </sheetPr>
  <dimension ref="A1:AC39"/>
  <sheetViews>
    <sheetView workbookViewId="0">
      <selection activeCell="A3" sqref="A3:AC34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39.855468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24" bestFit="1" customWidth="1"/>
    <col min="29" max="29" width="3" bestFit="1" customWidth="1"/>
  </cols>
  <sheetData>
    <row r="1" spans="1:29" ht="15.75" thickBot="1" x14ac:dyDescent="0.3">
      <c r="H1">
        <f>SUM(H3:H1048576)</f>
        <v>381.59999999999997</v>
      </c>
    </row>
    <row r="2" spans="1:29" s="30" customFormat="1" ht="15.75" thickBot="1" x14ac:dyDescent="0.3">
      <c r="A2" s="27" t="s">
        <v>28</v>
      </c>
      <c r="B2" s="28" t="s">
        <v>27</v>
      </c>
      <c r="C2" s="28" t="s">
        <v>26</v>
      </c>
      <c r="D2" s="28" t="s">
        <v>29</v>
      </c>
      <c r="E2" s="28" t="s">
        <v>30</v>
      </c>
      <c r="F2" s="28" t="s">
        <v>31</v>
      </c>
      <c r="G2" s="28" t="s">
        <v>32</v>
      </c>
      <c r="H2" s="28" t="s">
        <v>33</v>
      </c>
      <c r="I2" s="28" t="s">
        <v>34</v>
      </c>
      <c r="J2" s="29" t="s">
        <v>35</v>
      </c>
      <c r="K2" s="31"/>
    </row>
    <row r="3" spans="1:29" x14ac:dyDescent="0.25">
      <c r="A3">
        <v>119788608</v>
      </c>
      <c r="B3">
        <v>2026973405</v>
      </c>
      <c r="C3">
        <v>600</v>
      </c>
      <c r="D3">
        <v>10</v>
      </c>
      <c r="E3" t="s">
        <v>8</v>
      </c>
      <c r="F3" t="s">
        <v>58</v>
      </c>
      <c r="G3">
        <v>1</v>
      </c>
      <c r="H3">
        <v>16</v>
      </c>
      <c r="I3">
        <v>0</v>
      </c>
      <c r="J3">
        <v>16</v>
      </c>
      <c r="K3" t="s">
        <v>59</v>
      </c>
      <c r="L3" s="18">
        <v>0.6875</v>
      </c>
      <c r="M3" t="s">
        <v>60</v>
      </c>
      <c r="N3" s="18">
        <v>0.60416666666666663</v>
      </c>
      <c r="O3" t="s">
        <v>11</v>
      </c>
      <c r="P3" t="s">
        <v>12</v>
      </c>
      <c r="Q3" t="s">
        <v>13</v>
      </c>
      <c r="T3" s="18">
        <v>0</v>
      </c>
      <c r="W3" s="18">
        <v>0</v>
      </c>
      <c r="Y3">
        <v>0</v>
      </c>
      <c r="Z3">
        <v>0</v>
      </c>
      <c r="AA3">
        <v>2</v>
      </c>
      <c r="AB3" t="s">
        <v>20</v>
      </c>
      <c r="AC3">
        <v>18</v>
      </c>
    </row>
    <row r="4" spans="1:29" x14ac:dyDescent="0.25">
      <c r="A4">
        <v>133868405</v>
      </c>
      <c r="B4">
        <v>2028602610</v>
      </c>
      <c r="C4">
        <v>15</v>
      </c>
      <c r="E4" t="s">
        <v>8</v>
      </c>
      <c r="F4" t="s">
        <v>73</v>
      </c>
      <c r="G4">
        <v>2</v>
      </c>
      <c r="H4">
        <v>4</v>
      </c>
      <c r="I4">
        <v>0</v>
      </c>
      <c r="J4">
        <v>2</v>
      </c>
      <c r="K4" t="s">
        <v>59</v>
      </c>
      <c r="L4" s="18">
        <v>0.3125</v>
      </c>
      <c r="M4" t="s">
        <v>59</v>
      </c>
      <c r="N4" s="18">
        <v>0.39583333333333331</v>
      </c>
      <c r="O4" t="s">
        <v>40</v>
      </c>
      <c r="P4" t="s">
        <v>14</v>
      </c>
      <c r="Q4" t="s">
        <v>13</v>
      </c>
      <c r="T4" s="18">
        <v>0</v>
      </c>
      <c r="W4" s="18">
        <v>0</v>
      </c>
      <c r="Y4">
        <v>0</v>
      </c>
      <c r="Z4">
        <v>0</v>
      </c>
      <c r="AA4">
        <v>1</v>
      </c>
      <c r="AB4" t="s">
        <v>20</v>
      </c>
      <c r="AC4">
        <v>18</v>
      </c>
    </row>
    <row r="5" spans="1:29" x14ac:dyDescent="0.25">
      <c r="A5">
        <v>121247680</v>
      </c>
      <c r="B5">
        <v>2029462344</v>
      </c>
      <c r="C5">
        <v>300</v>
      </c>
      <c r="E5" t="s">
        <v>8</v>
      </c>
      <c r="F5" t="s">
        <v>74</v>
      </c>
      <c r="G5">
        <v>2</v>
      </c>
      <c r="H5">
        <v>8</v>
      </c>
      <c r="I5">
        <v>0</v>
      </c>
      <c r="J5">
        <v>4</v>
      </c>
      <c r="K5" t="s">
        <v>62</v>
      </c>
      <c r="L5" s="18">
        <v>0.57916666666666672</v>
      </c>
      <c r="M5" t="s">
        <v>62</v>
      </c>
      <c r="N5" s="18">
        <v>0.71250000000000002</v>
      </c>
      <c r="O5" t="s">
        <v>22</v>
      </c>
      <c r="P5" t="s">
        <v>14</v>
      </c>
      <c r="Q5" t="s">
        <v>13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20</v>
      </c>
      <c r="AC5">
        <v>18</v>
      </c>
    </row>
    <row r="6" spans="1:29" x14ac:dyDescent="0.25">
      <c r="A6">
        <v>134913858</v>
      </c>
      <c r="B6">
        <v>2030335130</v>
      </c>
      <c r="C6">
        <v>130</v>
      </c>
      <c r="E6" t="s">
        <v>8</v>
      </c>
      <c r="F6" t="s">
        <v>75</v>
      </c>
      <c r="G6">
        <v>1</v>
      </c>
      <c r="H6">
        <v>0.2</v>
      </c>
      <c r="I6">
        <v>0</v>
      </c>
      <c r="J6">
        <v>0.2</v>
      </c>
      <c r="K6" t="s">
        <v>59</v>
      </c>
      <c r="L6" s="18">
        <v>0.39247685185185183</v>
      </c>
      <c r="M6" t="s">
        <v>59</v>
      </c>
      <c r="N6" s="18">
        <v>0.39914351851851854</v>
      </c>
      <c r="O6" t="s">
        <v>11</v>
      </c>
      <c r="P6" t="s">
        <v>14</v>
      </c>
      <c r="Q6" t="s">
        <v>76</v>
      </c>
      <c r="T6" s="18">
        <v>0</v>
      </c>
      <c r="W6" s="18">
        <v>0</v>
      </c>
      <c r="Y6">
        <v>0</v>
      </c>
      <c r="Z6">
        <v>0</v>
      </c>
      <c r="AA6">
        <v>1</v>
      </c>
      <c r="AB6" t="s">
        <v>20</v>
      </c>
      <c r="AC6">
        <v>18</v>
      </c>
    </row>
    <row r="7" spans="1:29" x14ac:dyDescent="0.25">
      <c r="A7">
        <v>128537252</v>
      </c>
      <c r="B7">
        <v>2030342743</v>
      </c>
      <c r="C7">
        <v>60</v>
      </c>
      <c r="E7" t="s">
        <v>8</v>
      </c>
      <c r="F7" t="s">
        <v>77</v>
      </c>
      <c r="G7">
        <v>2</v>
      </c>
      <c r="H7">
        <v>2</v>
      </c>
      <c r="I7">
        <v>0</v>
      </c>
      <c r="J7">
        <v>1</v>
      </c>
      <c r="K7" t="s">
        <v>59</v>
      </c>
      <c r="L7" s="18">
        <v>0.3125</v>
      </c>
      <c r="M7" t="s">
        <v>59</v>
      </c>
      <c r="N7" s="18">
        <v>0.35416666666666669</v>
      </c>
      <c r="O7" t="s">
        <v>11</v>
      </c>
      <c r="P7" t="s">
        <v>14</v>
      </c>
      <c r="Q7" t="s">
        <v>13</v>
      </c>
      <c r="T7" s="18">
        <v>0</v>
      </c>
      <c r="W7" s="18">
        <v>0</v>
      </c>
      <c r="Y7">
        <v>0</v>
      </c>
      <c r="Z7">
        <v>0</v>
      </c>
      <c r="AA7">
        <v>1</v>
      </c>
      <c r="AB7" t="s">
        <v>20</v>
      </c>
      <c r="AC7">
        <v>18</v>
      </c>
    </row>
    <row r="8" spans="1:29" x14ac:dyDescent="0.25">
      <c r="A8">
        <v>128537258</v>
      </c>
      <c r="B8">
        <v>2030342743</v>
      </c>
      <c r="C8">
        <v>80</v>
      </c>
      <c r="E8" t="s">
        <v>8</v>
      </c>
      <c r="F8" t="s">
        <v>78</v>
      </c>
      <c r="G8">
        <v>2</v>
      </c>
      <c r="H8">
        <v>2</v>
      </c>
      <c r="I8">
        <v>0</v>
      </c>
      <c r="J8">
        <v>1</v>
      </c>
      <c r="K8" t="s">
        <v>59</v>
      </c>
      <c r="L8" s="18">
        <v>0.3125</v>
      </c>
      <c r="M8" t="s">
        <v>59</v>
      </c>
      <c r="N8" s="18">
        <v>0.35416666666666669</v>
      </c>
      <c r="O8" t="s">
        <v>11</v>
      </c>
      <c r="P8" t="s">
        <v>14</v>
      </c>
      <c r="Q8" t="s">
        <v>13</v>
      </c>
      <c r="T8" s="18">
        <v>0</v>
      </c>
      <c r="W8" s="18">
        <v>0</v>
      </c>
      <c r="Y8">
        <v>0</v>
      </c>
      <c r="Z8">
        <v>0</v>
      </c>
      <c r="AA8">
        <v>1</v>
      </c>
      <c r="AB8" t="s">
        <v>20</v>
      </c>
      <c r="AC8">
        <v>18</v>
      </c>
    </row>
    <row r="9" spans="1:29" x14ac:dyDescent="0.25">
      <c r="A9">
        <v>130927512</v>
      </c>
      <c r="B9">
        <v>2030910115</v>
      </c>
      <c r="C9">
        <v>320</v>
      </c>
      <c r="D9">
        <v>10</v>
      </c>
      <c r="E9" t="s">
        <v>8</v>
      </c>
      <c r="F9" t="s">
        <v>84</v>
      </c>
      <c r="G9">
        <v>1</v>
      </c>
      <c r="H9">
        <v>8</v>
      </c>
      <c r="I9">
        <v>0</v>
      </c>
      <c r="J9">
        <v>8</v>
      </c>
      <c r="K9" t="s">
        <v>60</v>
      </c>
      <c r="L9" s="18">
        <v>0</v>
      </c>
      <c r="M9" t="s">
        <v>60</v>
      </c>
      <c r="N9" s="18">
        <v>0.33333333333333331</v>
      </c>
      <c r="O9" t="s">
        <v>11</v>
      </c>
      <c r="P9" t="s">
        <v>14</v>
      </c>
      <c r="Q9" t="s">
        <v>13</v>
      </c>
      <c r="T9" s="18">
        <v>0</v>
      </c>
      <c r="W9" s="18">
        <v>0</v>
      </c>
      <c r="Y9">
        <v>0</v>
      </c>
      <c r="Z9">
        <v>0</v>
      </c>
      <c r="AA9">
        <v>1</v>
      </c>
      <c r="AB9" t="s">
        <v>20</v>
      </c>
      <c r="AC9">
        <v>18</v>
      </c>
    </row>
    <row r="10" spans="1:29" x14ac:dyDescent="0.25">
      <c r="A10">
        <v>131807556</v>
      </c>
      <c r="B10">
        <v>2030969002</v>
      </c>
      <c r="C10">
        <v>60</v>
      </c>
      <c r="E10" t="s">
        <v>8</v>
      </c>
      <c r="F10" t="s">
        <v>85</v>
      </c>
      <c r="G10">
        <v>1</v>
      </c>
      <c r="H10">
        <v>0.2</v>
      </c>
      <c r="I10">
        <v>0</v>
      </c>
      <c r="J10">
        <v>0.2</v>
      </c>
      <c r="K10" t="s">
        <v>59</v>
      </c>
      <c r="L10" s="18">
        <v>0</v>
      </c>
      <c r="M10" t="s">
        <v>59</v>
      </c>
      <c r="N10" s="18">
        <v>8.3333333333333332E-3</v>
      </c>
      <c r="O10" t="s">
        <v>15</v>
      </c>
      <c r="P10" t="s">
        <v>14</v>
      </c>
      <c r="Q10" t="s">
        <v>13</v>
      </c>
      <c r="T10" s="18">
        <v>0</v>
      </c>
      <c r="W10" s="18">
        <v>0</v>
      </c>
      <c r="Y10">
        <v>0</v>
      </c>
      <c r="Z10">
        <v>0</v>
      </c>
      <c r="AA10">
        <v>1</v>
      </c>
      <c r="AB10" t="s">
        <v>20</v>
      </c>
      <c r="AC10">
        <v>18</v>
      </c>
    </row>
    <row r="11" spans="1:29" x14ac:dyDescent="0.25">
      <c r="A11">
        <v>132873211</v>
      </c>
      <c r="B11">
        <v>2031234202</v>
      </c>
      <c r="C11">
        <v>70</v>
      </c>
      <c r="E11" t="s">
        <v>8</v>
      </c>
      <c r="F11" t="s">
        <v>18</v>
      </c>
      <c r="G11">
        <v>2</v>
      </c>
      <c r="H11">
        <v>24</v>
      </c>
      <c r="I11">
        <v>0</v>
      </c>
      <c r="J11">
        <v>12</v>
      </c>
      <c r="K11" t="s">
        <v>59</v>
      </c>
      <c r="L11" s="18">
        <v>0.3125</v>
      </c>
      <c r="M11" t="s">
        <v>62</v>
      </c>
      <c r="N11" s="18">
        <v>0.33750000000000002</v>
      </c>
      <c r="O11" t="s">
        <v>17</v>
      </c>
      <c r="P11" t="s">
        <v>14</v>
      </c>
      <c r="Q11" t="s">
        <v>13</v>
      </c>
      <c r="T11" s="18">
        <v>0</v>
      </c>
      <c r="W11" s="19">
        <v>1</v>
      </c>
      <c r="Y11">
        <v>0</v>
      </c>
      <c r="Z11">
        <v>0</v>
      </c>
      <c r="AA11">
        <v>1</v>
      </c>
      <c r="AB11" t="s">
        <v>20</v>
      </c>
      <c r="AC11">
        <v>18</v>
      </c>
    </row>
    <row r="12" spans="1:29" x14ac:dyDescent="0.25">
      <c r="A12">
        <v>133255210</v>
      </c>
      <c r="B12">
        <v>2031292525</v>
      </c>
      <c r="C12">
        <v>20</v>
      </c>
      <c r="E12" t="s">
        <v>8</v>
      </c>
      <c r="F12" t="s">
        <v>92</v>
      </c>
      <c r="G12">
        <v>2</v>
      </c>
      <c r="H12">
        <v>4</v>
      </c>
      <c r="I12">
        <v>0</v>
      </c>
      <c r="J12">
        <v>2</v>
      </c>
      <c r="K12" t="s">
        <v>59</v>
      </c>
      <c r="L12" s="18">
        <v>0.41249999999999998</v>
      </c>
      <c r="M12" t="s">
        <v>59</v>
      </c>
      <c r="N12" s="18">
        <v>0.47916666666666669</v>
      </c>
      <c r="O12" t="s">
        <v>11</v>
      </c>
      <c r="P12" t="s">
        <v>14</v>
      </c>
      <c r="Q12" t="s">
        <v>13</v>
      </c>
      <c r="T12" s="18">
        <v>0</v>
      </c>
      <c r="W12" s="18">
        <v>1</v>
      </c>
      <c r="Y12">
        <v>0</v>
      </c>
      <c r="Z12">
        <v>0</v>
      </c>
      <c r="AA12">
        <v>2</v>
      </c>
      <c r="AB12" t="s">
        <v>20</v>
      </c>
      <c r="AC12">
        <v>18</v>
      </c>
    </row>
    <row r="13" spans="1:29" x14ac:dyDescent="0.25">
      <c r="A13">
        <v>133255214</v>
      </c>
      <c r="B13">
        <v>2031292525</v>
      </c>
      <c r="C13">
        <v>50</v>
      </c>
      <c r="E13" t="s">
        <v>8</v>
      </c>
      <c r="F13" t="s">
        <v>93</v>
      </c>
      <c r="G13">
        <v>2</v>
      </c>
      <c r="H13">
        <v>4</v>
      </c>
      <c r="I13">
        <v>0</v>
      </c>
      <c r="J13">
        <v>2</v>
      </c>
      <c r="K13" t="s">
        <v>72</v>
      </c>
      <c r="L13" s="18">
        <v>0.59583333333333333</v>
      </c>
      <c r="M13" t="s">
        <v>72</v>
      </c>
      <c r="N13" s="18">
        <v>0.66249999999999998</v>
      </c>
      <c r="O13" t="s">
        <v>11</v>
      </c>
      <c r="P13" t="s">
        <v>14</v>
      </c>
      <c r="Q13" t="s">
        <v>13</v>
      </c>
      <c r="T13" s="18">
        <v>0</v>
      </c>
      <c r="W13" s="18">
        <v>1</v>
      </c>
      <c r="Y13">
        <v>0</v>
      </c>
      <c r="Z13">
        <v>0</v>
      </c>
      <c r="AA13">
        <v>2</v>
      </c>
      <c r="AB13" t="s">
        <v>20</v>
      </c>
      <c r="AC13">
        <v>18</v>
      </c>
    </row>
    <row r="14" spans="1:29" x14ac:dyDescent="0.25">
      <c r="A14">
        <v>133417471</v>
      </c>
      <c r="B14">
        <v>2031323727</v>
      </c>
      <c r="C14">
        <v>50</v>
      </c>
      <c r="E14" t="s">
        <v>8</v>
      </c>
      <c r="F14" t="s">
        <v>45</v>
      </c>
      <c r="G14">
        <v>2</v>
      </c>
      <c r="H14">
        <v>18</v>
      </c>
      <c r="I14">
        <v>0</v>
      </c>
      <c r="J14">
        <v>9</v>
      </c>
      <c r="K14" t="s">
        <v>59</v>
      </c>
      <c r="L14" s="18">
        <v>0.47916666666666669</v>
      </c>
      <c r="M14" t="s">
        <v>62</v>
      </c>
      <c r="N14" s="18">
        <v>0.40416666666666667</v>
      </c>
      <c r="O14" t="s">
        <v>11</v>
      </c>
      <c r="P14" t="s">
        <v>14</v>
      </c>
      <c r="Q14" t="s">
        <v>13</v>
      </c>
      <c r="T14" s="18">
        <v>0</v>
      </c>
      <c r="W14" s="18">
        <v>1</v>
      </c>
      <c r="Y14">
        <v>0</v>
      </c>
      <c r="Z14">
        <v>0</v>
      </c>
      <c r="AA14">
        <v>1</v>
      </c>
      <c r="AB14" t="s">
        <v>20</v>
      </c>
      <c r="AC14">
        <v>18</v>
      </c>
    </row>
    <row r="15" spans="1:29" x14ac:dyDescent="0.25">
      <c r="A15">
        <v>133865641</v>
      </c>
      <c r="B15">
        <v>2031324296</v>
      </c>
      <c r="C15">
        <v>150</v>
      </c>
      <c r="D15">
        <v>10</v>
      </c>
      <c r="E15" t="s">
        <v>8</v>
      </c>
      <c r="F15" t="s">
        <v>98</v>
      </c>
      <c r="G15">
        <v>1</v>
      </c>
      <c r="H15">
        <v>6</v>
      </c>
      <c r="I15">
        <v>0</v>
      </c>
      <c r="J15">
        <v>6</v>
      </c>
      <c r="K15" t="s">
        <v>59</v>
      </c>
      <c r="L15" s="18">
        <v>0.66666666666666663</v>
      </c>
      <c r="M15" t="s">
        <v>59</v>
      </c>
      <c r="N15" s="18">
        <v>0.91666666666666663</v>
      </c>
      <c r="O15" t="s">
        <v>11</v>
      </c>
      <c r="P15" t="s">
        <v>14</v>
      </c>
      <c r="Q15" t="s">
        <v>13</v>
      </c>
      <c r="T15" s="18">
        <v>0</v>
      </c>
      <c r="W15" s="18">
        <v>0</v>
      </c>
      <c r="Y15">
        <v>0</v>
      </c>
      <c r="Z15">
        <v>0</v>
      </c>
      <c r="AA15">
        <v>1</v>
      </c>
      <c r="AB15" t="s">
        <v>20</v>
      </c>
      <c r="AC15">
        <v>18</v>
      </c>
    </row>
    <row r="16" spans="1:29" x14ac:dyDescent="0.25">
      <c r="A16">
        <v>133865635</v>
      </c>
      <c r="B16">
        <v>2031324296</v>
      </c>
      <c r="C16">
        <v>60</v>
      </c>
      <c r="E16" t="s">
        <v>8</v>
      </c>
      <c r="F16" t="s">
        <v>99</v>
      </c>
      <c r="G16">
        <v>4</v>
      </c>
      <c r="H16">
        <v>32</v>
      </c>
      <c r="I16">
        <v>0</v>
      </c>
      <c r="J16">
        <v>8</v>
      </c>
      <c r="K16" t="s">
        <v>59</v>
      </c>
      <c r="L16" s="18">
        <v>0.125</v>
      </c>
      <c r="M16" t="s">
        <v>59</v>
      </c>
      <c r="N16" s="18">
        <v>0.45833333333333331</v>
      </c>
      <c r="O16" t="s">
        <v>40</v>
      </c>
      <c r="P16" t="s">
        <v>14</v>
      </c>
      <c r="Q16" t="s">
        <v>13</v>
      </c>
      <c r="T16" s="18">
        <v>0</v>
      </c>
      <c r="W16" s="18">
        <v>0</v>
      </c>
      <c r="Y16">
        <v>0</v>
      </c>
      <c r="Z16">
        <v>0</v>
      </c>
      <c r="AA16">
        <v>1</v>
      </c>
      <c r="AB16" t="s">
        <v>20</v>
      </c>
      <c r="AC16">
        <v>18</v>
      </c>
    </row>
    <row r="17" spans="1:29" x14ac:dyDescent="0.25">
      <c r="A17">
        <v>134998576</v>
      </c>
      <c r="B17">
        <v>2031324298</v>
      </c>
      <c r="C17">
        <v>760</v>
      </c>
      <c r="D17">
        <v>10</v>
      </c>
      <c r="E17" t="s">
        <v>8</v>
      </c>
      <c r="F17" t="s">
        <v>100</v>
      </c>
      <c r="G17">
        <v>4</v>
      </c>
      <c r="H17">
        <v>24</v>
      </c>
      <c r="I17">
        <v>0</v>
      </c>
      <c r="J17">
        <v>6</v>
      </c>
      <c r="K17" t="s">
        <v>59</v>
      </c>
      <c r="L17" s="18">
        <v>0.3125</v>
      </c>
      <c r="M17" t="s">
        <v>59</v>
      </c>
      <c r="N17" s="18">
        <v>0.60416666666666663</v>
      </c>
      <c r="O17" t="s">
        <v>11</v>
      </c>
      <c r="P17" t="s">
        <v>14</v>
      </c>
      <c r="Q17" t="s">
        <v>13</v>
      </c>
      <c r="T17" s="18">
        <v>0</v>
      </c>
      <c r="W17" s="18">
        <v>0</v>
      </c>
      <c r="Y17">
        <v>0</v>
      </c>
      <c r="Z17">
        <v>0</v>
      </c>
      <c r="AA17">
        <v>2</v>
      </c>
      <c r="AB17" t="s">
        <v>42</v>
      </c>
      <c r="AC17">
        <v>14</v>
      </c>
    </row>
    <row r="18" spans="1:29" x14ac:dyDescent="0.25">
      <c r="A18">
        <v>134998587</v>
      </c>
      <c r="B18">
        <v>2031324298</v>
      </c>
      <c r="C18">
        <v>870</v>
      </c>
      <c r="D18">
        <v>10</v>
      </c>
      <c r="E18" t="s">
        <v>8</v>
      </c>
      <c r="F18" t="s">
        <v>101</v>
      </c>
      <c r="G18">
        <v>2</v>
      </c>
      <c r="H18">
        <v>16</v>
      </c>
      <c r="I18">
        <v>0</v>
      </c>
      <c r="J18">
        <v>8</v>
      </c>
      <c r="K18" t="s">
        <v>59</v>
      </c>
      <c r="L18" s="18">
        <v>0.3125</v>
      </c>
      <c r="M18" t="s">
        <v>59</v>
      </c>
      <c r="N18" s="18">
        <v>0.6875</v>
      </c>
      <c r="O18" t="s">
        <v>11</v>
      </c>
      <c r="P18" t="s">
        <v>14</v>
      </c>
      <c r="Q18" t="s">
        <v>13</v>
      </c>
      <c r="T18" s="18">
        <v>0</v>
      </c>
      <c r="W18" s="19">
        <v>0</v>
      </c>
      <c r="Y18">
        <v>0</v>
      </c>
      <c r="Z18">
        <v>0</v>
      </c>
      <c r="AA18">
        <v>2</v>
      </c>
      <c r="AB18" t="s">
        <v>42</v>
      </c>
      <c r="AC18">
        <v>14</v>
      </c>
    </row>
    <row r="19" spans="1:29" x14ac:dyDescent="0.25">
      <c r="A19">
        <v>134729563</v>
      </c>
      <c r="B19">
        <v>2031324298</v>
      </c>
      <c r="C19">
        <v>302</v>
      </c>
      <c r="E19" t="s">
        <v>8</v>
      </c>
      <c r="F19" t="s">
        <v>102</v>
      </c>
      <c r="G19">
        <v>2</v>
      </c>
      <c r="H19">
        <v>8</v>
      </c>
      <c r="I19">
        <v>0</v>
      </c>
      <c r="J19">
        <v>4</v>
      </c>
      <c r="K19" t="s">
        <v>59</v>
      </c>
      <c r="L19" s="18">
        <v>0.3125</v>
      </c>
      <c r="M19" t="s">
        <v>59</v>
      </c>
      <c r="N19" s="18">
        <v>0.47916666666666669</v>
      </c>
      <c r="O19" t="s">
        <v>40</v>
      </c>
      <c r="P19" t="s">
        <v>14</v>
      </c>
      <c r="Q19" t="s">
        <v>13</v>
      </c>
      <c r="T19" s="18">
        <v>0</v>
      </c>
      <c r="W19" s="19">
        <v>0</v>
      </c>
      <c r="Y19">
        <v>0</v>
      </c>
      <c r="Z19">
        <v>0</v>
      </c>
      <c r="AA19">
        <v>2</v>
      </c>
      <c r="AB19" t="s">
        <v>42</v>
      </c>
      <c r="AC19">
        <v>14</v>
      </c>
    </row>
    <row r="20" spans="1:29" x14ac:dyDescent="0.25">
      <c r="A20">
        <v>134998580</v>
      </c>
      <c r="B20">
        <v>2031324298</v>
      </c>
      <c r="C20">
        <v>810</v>
      </c>
      <c r="E20" t="s">
        <v>8</v>
      </c>
      <c r="F20" t="s">
        <v>103</v>
      </c>
      <c r="G20">
        <v>1</v>
      </c>
      <c r="H20">
        <v>2</v>
      </c>
      <c r="I20">
        <v>0</v>
      </c>
      <c r="J20">
        <v>2</v>
      </c>
      <c r="K20" t="s">
        <v>59</v>
      </c>
      <c r="L20" s="18">
        <v>0.3125</v>
      </c>
      <c r="M20" t="s">
        <v>59</v>
      </c>
      <c r="N20" s="18">
        <v>0.39583333333333331</v>
      </c>
      <c r="O20" t="s">
        <v>11</v>
      </c>
      <c r="P20" t="s">
        <v>14</v>
      </c>
      <c r="Q20" t="s">
        <v>13</v>
      </c>
      <c r="T20" s="18">
        <v>0</v>
      </c>
      <c r="W20" s="19">
        <v>0</v>
      </c>
      <c r="Y20">
        <v>0</v>
      </c>
      <c r="Z20">
        <v>0</v>
      </c>
      <c r="AA20">
        <v>2</v>
      </c>
      <c r="AB20" t="s">
        <v>42</v>
      </c>
      <c r="AC20">
        <v>14</v>
      </c>
    </row>
    <row r="21" spans="1:29" x14ac:dyDescent="0.25">
      <c r="A21">
        <v>133559951</v>
      </c>
      <c r="B21">
        <v>2031349873</v>
      </c>
      <c r="C21">
        <v>10</v>
      </c>
      <c r="E21" t="s">
        <v>8</v>
      </c>
      <c r="F21" t="s">
        <v>18</v>
      </c>
      <c r="G21">
        <v>2</v>
      </c>
      <c r="H21">
        <v>24</v>
      </c>
      <c r="I21">
        <v>0</v>
      </c>
      <c r="J21">
        <v>12</v>
      </c>
      <c r="K21" t="s">
        <v>59</v>
      </c>
      <c r="L21" s="18">
        <v>0.31914351851851852</v>
      </c>
      <c r="M21" t="s">
        <v>62</v>
      </c>
      <c r="N21" s="18">
        <v>0.34414351851851854</v>
      </c>
      <c r="O21" t="s">
        <v>11</v>
      </c>
      <c r="P21" t="s">
        <v>14</v>
      </c>
      <c r="Q21" t="s">
        <v>13</v>
      </c>
      <c r="T21" s="18">
        <v>0</v>
      </c>
      <c r="W21" s="18">
        <v>1</v>
      </c>
      <c r="X21" t="s">
        <v>23</v>
      </c>
      <c r="Y21">
        <v>0</v>
      </c>
      <c r="Z21">
        <v>0</v>
      </c>
      <c r="AA21">
        <v>1</v>
      </c>
      <c r="AB21" t="s">
        <v>20</v>
      </c>
      <c r="AC21">
        <v>18</v>
      </c>
    </row>
    <row r="22" spans="1:29" x14ac:dyDescent="0.25">
      <c r="A22">
        <v>134066962</v>
      </c>
      <c r="B22">
        <v>2031428250</v>
      </c>
      <c r="C22">
        <v>10</v>
      </c>
      <c r="E22" t="s">
        <v>8</v>
      </c>
      <c r="F22" t="s">
        <v>112</v>
      </c>
      <c r="G22">
        <v>2</v>
      </c>
      <c r="H22">
        <v>16</v>
      </c>
      <c r="I22">
        <v>0</v>
      </c>
      <c r="J22">
        <v>8</v>
      </c>
      <c r="K22" t="s">
        <v>59</v>
      </c>
      <c r="L22" s="18">
        <v>0.45247685185185182</v>
      </c>
      <c r="M22" t="s">
        <v>62</v>
      </c>
      <c r="N22" s="18">
        <v>0.34414351851851854</v>
      </c>
      <c r="O22" t="s">
        <v>11</v>
      </c>
      <c r="P22" t="s">
        <v>14</v>
      </c>
      <c r="Q22" t="s">
        <v>13</v>
      </c>
      <c r="T22" s="18">
        <v>0</v>
      </c>
      <c r="W22" s="18">
        <v>1</v>
      </c>
      <c r="X22" t="s">
        <v>23</v>
      </c>
      <c r="Y22">
        <v>0</v>
      </c>
      <c r="Z22">
        <v>0</v>
      </c>
      <c r="AA22">
        <v>1</v>
      </c>
      <c r="AB22" t="s">
        <v>20</v>
      </c>
      <c r="AC22">
        <v>18</v>
      </c>
    </row>
    <row r="23" spans="1:29" x14ac:dyDescent="0.25">
      <c r="A23">
        <v>134066966</v>
      </c>
      <c r="B23">
        <v>2031428250</v>
      </c>
      <c r="C23">
        <v>30</v>
      </c>
      <c r="E23" t="s">
        <v>8</v>
      </c>
      <c r="F23" t="s">
        <v>44</v>
      </c>
      <c r="G23">
        <v>2</v>
      </c>
      <c r="H23">
        <v>16</v>
      </c>
      <c r="I23">
        <v>0</v>
      </c>
      <c r="J23">
        <v>8</v>
      </c>
      <c r="K23" t="s">
        <v>60</v>
      </c>
      <c r="L23" s="18">
        <v>0.34583333333333333</v>
      </c>
      <c r="M23" t="s">
        <v>60</v>
      </c>
      <c r="N23" s="18">
        <v>0.65416666666666667</v>
      </c>
      <c r="O23" t="s">
        <v>11</v>
      </c>
      <c r="P23" t="s">
        <v>14</v>
      </c>
      <c r="Q23" t="s">
        <v>13</v>
      </c>
      <c r="T23" s="18">
        <v>0</v>
      </c>
      <c r="W23" s="18">
        <v>1</v>
      </c>
      <c r="Y23">
        <v>0</v>
      </c>
      <c r="Z23">
        <v>0</v>
      </c>
      <c r="AA23">
        <v>1</v>
      </c>
      <c r="AB23" t="s">
        <v>20</v>
      </c>
      <c r="AC23">
        <v>18</v>
      </c>
    </row>
    <row r="24" spans="1:29" x14ac:dyDescent="0.25">
      <c r="A24">
        <v>134066970</v>
      </c>
      <c r="B24">
        <v>2031428250</v>
      </c>
      <c r="C24">
        <v>50</v>
      </c>
      <c r="E24" t="s">
        <v>8</v>
      </c>
      <c r="F24" t="s">
        <v>113</v>
      </c>
      <c r="G24">
        <v>2</v>
      </c>
      <c r="H24">
        <v>16</v>
      </c>
      <c r="I24">
        <v>0</v>
      </c>
      <c r="J24">
        <v>8</v>
      </c>
      <c r="K24" t="s">
        <v>72</v>
      </c>
      <c r="L24" s="18">
        <v>0.43900462962962961</v>
      </c>
      <c r="M24" t="s">
        <v>88</v>
      </c>
      <c r="N24" s="18">
        <v>0.33067129629629627</v>
      </c>
      <c r="O24" t="s">
        <v>11</v>
      </c>
      <c r="P24" t="s">
        <v>14</v>
      </c>
      <c r="Q24" t="s">
        <v>13</v>
      </c>
      <c r="T24" s="18">
        <v>0</v>
      </c>
      <c r="W24" s="18">
        <v>1</v>
      </c>
      <c r="Y24">
        <v>0</v>
      </c>
      <c r="Z24">
        <v>0</v>
      </c>
      <c r="AA24">
        <v>1</v>
      </c>
      <c r="AB24" t="s">
        <v>20</v>
      </c>
      <c r="AC24">
        <v>18</v>
      </c>
    </row>
    <row r="25" spans="1:29" x14ac:dyDescent="0.25">
      <c r="A25">
        <v>134066974</v>
      </c>
      <c r="B25">
        <v>2031428250</v>
      </c>
      <c r="C25">
        <v>70</v>
      </c>
      <c r="E25" t="s">
        <v>8</v>
      </c>
      <c r="F25" t="s">
        <v>114</v>
      </c>
      <c r="G25">
        <v>2</v>
      </c>
      <c r="H25">
        <v>16</v>
      </c>
      <c r="I25">
        <v>0</v>
      </c>
      <c r="J25">
        <v>8</v>
      </c>
      <c r="K25" t="s">
        <v>88</v>
      </c>
      <c r="L25" s="18">
        <v>0.47916666666666669</v>
      </c>
      <c r="M25" t="s">
        <v>115</v>
      </c>
      <c r="N25" s="18">
        <v>0.41249999999999998</v>
      </c>
      <c r="O25" t="s">
        <v>11</v>
      </c>
      <c r="P25" t="s">
        <v>14</v>
      </c>
      <c r="Q25" t="s">
        <v>13</v>
      </c>
      <c r="T25" s="18">
        <v>0</v>
      </c>
      <c r="W25" s="18">
        <v>1</v>
      </c>
      <c r="Y25">
        <v>0</v>
      </c>
      <c r="Z25">
        <v>0</v>
      </c>
      <c r="AA25">
        <v>1</v>
      </c>
      <c r="AB25" t="s">
        <v>20</v>
      </c>
      <c r="AC25">
        <v>18</v>
      </c>
    </row>
    <row r="26" spans="1:29" x14ac:dyDescent="0.25">
      <c r="A26">
        <v>134657929</v>
      </c>
      <c r="B26">
        <v>2031530438</v>
      </c>
      <c r="C26">
        <v>10</v>
      </c>
      <c r="E26" t="s">
        <v>8</v>
      </c>
      <c r="F26" t="s">
        <v>119</v>
      </c>
      <c r="G26">
        <v>2</v>
      </c>
      <c r="H26">
        <v>12</v>
      </c>
      <c r="I26">
        <v>0</v>
      </c>
      <c r="J26">
        <v>6</v>
      </c>
      <c r="K26" t="s">
        <v>59</v>
      </c>
      <c r="L26" s="18">
        <v>0.3125</v>
      </c>
      <c r="M26" t="s">
        <v>59</v>
      </c>
      <c r="N26" s="18">
        <v>0.5541666666666667</v>
      </c>
      <c r="O26" t="s">
        <v>11</v>
      </c>
      <c r="P26" t="s">
        <v>120</v>
      </c>
      <c r="Q26" t="s">
        <v>13</v>
      </c>
      <c r="T26" s="18">
        <v>0</v>
      </c>
      <c r="W26" s="18">
        <v>0</v>
      </c>
      <c r="Y26">
        <v>0</v>
      </c>
      <c r="Z26">
        <v>0</v>
      </c>
      <c r="AA26">
        <v>1</v>
      </c>
      <c r="AB26" t="s">
        <v>20</v>
      </c>
      <c r="AC26">
        <v>14</v>
      </c>
    </row>
    <row r="27" spans="1:29" x14ac:dyDescent="0.25">
      <c r="A27">
        <v>134720710</v>
      </c>
      <c r="B27">
        <v>2031530438</v>
      </c>
      <c r="C27">
        <v>20</v>
      </c>
      <c r="E27" t="s">
        <v>8</v>
      </c>
      <c r="F27" t="s">
        <v>121</v>
      </c>
      <c r="G27">
        <v>1</v>
      </c>
      <c r="H27">
        <v>0.2</v>
      </c>
      <c r="I27">
        <v>0</v>
      </c>
      <c r="J27">
        <v>0.2</v>
      </c>
      <c r="K27" t="s">
        <v>59</v>
      </c>
      <c r="L27" s="18">
        <v>0.5541666666666667</v>
      </c>
      <c r="M27" t="s">
        <v>59</v>
      </c>
      <c r="N27" s="18">
        <v>0.56083333333333329</v>
      </c>
      <c r="O27" t="s">
        <v>11</v>
      </c>
      <c r="P27" t="s">
        <v>14</v>
      </c>
      <c r="Q27" t="s">
        <v>13</v>
      </c>
      <c r="T27" s="18">
        <v>0</v>
      </c>
      <c r="W27" s="18">
        <v>0</v>
      </c>
      <c r="Y27">
        <v>0</v>
      </c>
      <c r="Z27">
        <v>0</v>
      </c>
      <c r="AA27">
        <v>1</v>
      </c>
      <c r="AB27" t="s">
        <v>20</v>
      </c>
      <c r="AC27">
        <v>14</v>
      </c>
    </row>
    <row r="28" spans="1:29" x14ac:dyDescent="0.25">
      <c r="A28">
        <v>134803823</v>
      </c>
      <c r="B28">
        <v>2031542149</v>
      </c>
      <c r="C28">
        <v>110</v>
      </c>
      <c r="E28" t="s">
        <v>8</v>
      </c>
      <c r="F28" t="s">
        <v>122</v>
      </c>
      <c r="G28">
        <v>2</v>
      </c>
      <c r="H28">
        <v>88</v>
      </c>
      <c r="I28">
        <v>0</v>
      </c>
      <c r="J28">
        <v>44</v>
      </c>
      <c r="K28" t="s">
        <v>59</v>
      </c>
      <c r="L28" s="18">
        <v>0</v>
      </c>
      <c r="M28" t="s">
        <v>62</v>
      </c>
      <c r="N28" s="18">
        <v>0.83333333333333337</v>
      </c>
      <c r="O28" t="s">
        <v>40</v>
      </c>
      <c r="P28" t="s">
        <v>14</v>
      </c>
      <c r="Q28" t="s">
        <v>13</v>
      </c>
      <c r="T28" s="18">
        <v>0</v>
      </c>
      <c r="W28" s="18">
        <v>0</v>
      </c>
      <c r="Y28">
        <v>0</v>
      </c>
      <c r="Z28">
        <v>0</v>
      </c>
      <c r="AB28" t="s">
        <v>20</v>
      </c>
      <c r="AC28">
        <v>18</v>
      </c>
    </row>
    <row r="29" spans="1:29" x14ac:dyDescent="0.25">
      <c r="A29">
        <v>135014373</v>
      </c>
      <c r="B29">
        <v>2031585552</v>
      </c>
      <c r="C29">
        <v>30</v>
      </c>
      <c r="E29" t="s">
        <v>8</v>
      </c>
      <c r="F29" t="s">
        <v>124</v>
      </c>
      <c r="G29">
        <v>2</v>
      </c>
      <c r="H29">
        <v>4</v>
      </c>
      <c r="I29">
        <v>0</v>
      </c>
      <c r="J29">
        <v>2</v>
      </c>
      <c r="K29" t="s">
        <v>59</v>
      </c>
      <c r="L29" s="18">
        <v>0</v>
      </c>
      <c r="M29" t="s">
        <v>59</v>
      </c>
      <c r="N29" s="18">
        <v>8.3333333333333329E-2</v>
      </c>
      <c r="O29" t="s">
        <v>11</v>
      </c>
      <c r="P29" t="s">
        <v>14</v>
      </c>
      <c r="Q29" t="s">
        <v>13</v>
      </c>
      <c r="T29" s="18">
        <v>0</v>
      </c>
      <c r="W29" s="18">
        <v>0</v>
      </c>
      <c r="Y29">
        <v>0</v>
      </c>
      <c r="Z29">
        <v>0</v>
      </c>
      <c r="AA29">
        <v>2</v>
      </c>
      <c r="AB29" t="s">
        <v>20</v>
      </c>
      <c r="AC29">
        <v>18</v>
      </c>
    </row>
    <row r="30" spans="1:29" x14ac:dyDescent="0.25">
      <c r="A30">
        <v>135014384</v>
      </c>
      <c r="B30">
        <v>2031585552</v>
      </c>
      <c r="C30">
        <v>120</v>
      </c>
      <c r="E30" t="s">
        <v>8</v>
      </c>
      <c r="F30" t="s">
        <v>125</v>
      </c>
      <c r="G30">
        <v>1</v>
      </c>
      <c r="H30">
        <v>1</v>
      </c>
      <c r="I30">
        <v>0</v>
      </c>
      <c r="J30">
        <v>1</v>
      </c>
      <c r="K30" t="s">
        <v>59</v>
      </c>
      <c r="L30" s="18">
        <v>0</v>
      </c>
      <c r="M30" t="s">
        <v>59</v>
      </c>
      <c r="N30" s="18">
        <v>4.1666666666666664E-2</v>
      </c>
      <c r="O30" t="s">
        <v>11</v>
      </c>
      <c r="P30" t="s">
        <v>14</v>
      </c>
      <c r="Q30" t="s">
        <v>13</v>
      </c>
      <c r="T30" s="18">
        <v>0</v>
      </c>
      <c r="W30" s="19">
        <v>0</v>
      </c>
      <c r="Y30">
        <v>0</v>
      </c>
      <c r="Z30">
        <v>0</v>
      </c>
      <c r="AA30">
        <v>2</v>
      </c>
      <c r="AB30" t="s">
        <v>20</v>
      </c>
      <c r="AC30">
        <v>18</v>
      </c>
    </row>
    <row r="31" spans="1:29" x14ac:dyDescent="0.25">
      <c r="A31">
        <v>135014397</v>
      </c>
      <c r="B31">
        <v>2031585553</v>
      </c>
      <c r="C31">
        <v>30</v>
      </c>
      <c r="E31" t="s">
        <v>8</v>
      </c>
      <c r="F31" t="s">
        <v>126</v>
      </c>
      <c r="G31">
        <v>2</v>
      </c>
      <c r="H31">
        <v>4</v>
      </c>
      <c r="I31">
        <v>0</v>
      </c>
      <c r="J31">
        <v>2</v>
      </c>
      <c r="K31" t="s">
        <v>59</v>
      </c>
      <c r="L31" s="18">
        <v>0.3125</v>
      </c>
      <c r="M31" t="s">
        <v>59</v>
      </c>
      <c r="N31" s="18">
        <v>0.39583333333333331</v>
      </c>
      <c r="O31" t="s">
        <v>11</v>
      </c>
      <c r="P31" t="s">
        <v>14</v>
      </c>
      <c r="Q31" t="s">
        <v>13</v>
      </c>
      <c r="T31" s="18">
        <v>0</v>
      </c>
      <c r="W31" s="18">
        <v>0</v>
      </c>
      <c r="Y31">
        <v>0</v>
      </c>
      <c r="Z31">
        <v>0</v>
      </c>
      <c r="AA31">
        <v>2</v>
      </c>
      <c r="AB31" t="s">
        <v>20</v>
      </c>
      <c r="AC31">
        <v>18</v>
      </c>
    </row>
    <row r="32" spans="1:29" x14ac:dyDescent="0.25">
      <c r="A32">
        <v>135014408</v>
      </c>
      <c r="B32">
        <v>2031585553</v>
      </c>
      <c r="C32">
        <v>120</v>
      </c>
      <c r="E32" t="s">
        <v>8</v>
      </c>
      <c r="F32" t="s">
        <v>127</v>
      </c>
      <c r="G32">
        <v>1</v>
      </c>
      <c r="H32">
        <v>1</v>
      </c>
      <c r="I32">
        <v>0</v>
      </c>
      <c r="J32">
        <v>1</v>
      </c>
      <c r="K32" t="s">
        <v>59</v>
      </c>
      <c r="L32" s="18">
        <v>0.3125</v>
      </c>
      <c r="M32" t="s">
        <v>59</v>
      </c>
      <c r="N32" s="18">
        <v>0.35416666666666669</v>
      </c>
      <c r="O32" t="s">
        <v>11</v>
      </c>
      <c r="P32" t="s">
        <v>14</v>
      </c>
      <c r="Q32" t="s">
        <v>13</v>
      </c>
      <c r="T32" s="18">
        <v>0</v>
      </c>
      <c r="W32" s="18">
        <v>0</v>
      </c>
      <c r="Y32">
        <v>0</v>
      </c>
      <c r="Z32">
        <v>0</v>
      </c>
      <c r="AA32">
        <v>2</v>
      </c>
      <c r="AB32" t="s">
        <v>20</v>
      </c>
      <c r="AC32">
        <v>18</v>
      </c>
    </row>
    <row r="33" spans="1:29" x14ac:dyDescent="0.25">
      <c r="A33">
        <v>135016753</v>
      </c>
      <c r="B33">
        <v>2031585554</v>
      </c>
      <c r="C33">
        <v>30</v>
      </c>
      <c r="E33" t="s">
        <v>8</v>
      </c>
      <c r="F33" t="s">
        <v>128</v>
      </c>
      <c r="G33">
        <v>2</v>
      </c>
      <c r="H33">
        <v>4</v>
      </c>
      <c r="I33">
        <v>0</v>
      </c>
      <c r="J33">
        <v>2</v>
      </c>
      <c r="K33" t="s">
        <v>59</v>
      </c>
      <c r="L33" s="18">
        <v>0.3125</v>
      </c>
      <c r="M33" t="s">
        <v>59</v>
      </c>
      <c r="N33" s="18">
        <v>0.39583333333333331</v>
      </c>
      <c r="O33" t="s">
        <v>11</v>
      </c>
      <c r="P33" t="s">
        <v>14</v>
      </c>
      <c r="Q33" t="s">
        <v>13</v>
      </c>
      <c r="T33" s="18">
        <v>0</v>
      </c>
      <c r="W33" s="18">
        <v>0</v>
      </c>
      <c r="Y33">
        <v>0</v>
      </c>
      <c r="Z33">
        <v>0</v>
      </c>
      <c r="AA33">
        <v>2</v>
      </c>
      <c r="AB33" t="s">
        <v>20</v>
      </c>
      <c r="AC33">
        <v>18</v>
      </c>
    </row>
    <row r="34" spans="1:29" x14ac:dyDescent="0.25">
      <c r="A34">
        <v>135016764</v>
      </c>
      <c r="B34">
        <v>2031585554</v>
      </c>
      <c r="C34">
        <v>120</v>
      </c>
      <c r="E34" t="s">
        <v>8</v>
      </c>
      <c r="F34" t="s">
        <v>129</v>
      </c>
      <c r="G34">
        <v>1</v>
      </c>
      <c r="H34">
        <v>1</v>
      </c>
      <c r="I34">
        <v>0</v>
      </c>
      <c r="J34">
        <v>1</v>
      </c>
      <c r="K34" t="s">
        <v>59</v>
      </c>
      <c r="L34" s="18">
        <v>0.35416666666666669</v>
      </c>
      <c r="M34" t="s">
        <v>59</v>
      </c>
      <c r="N34" s="18">
        <v>0.39583333333333331</v>
      </c>
      <c r="O34" t="s">
        <v>11</v>
      </c>
      <c r="P34" t="s">
        <v>14</v>
      </c>
      <c r="Q34" t="s">
        <v>13</v>
      </c>
      <c r="T34" s="18">
        <v>0</v>
      </c>
      <c r="W34" s="18">
        <v>0</v>
      </c>
      <c r="Y34">
        <v>0</v>
      </c>
      <c r="Z34">
        <v>0</v>
      </c>
      <c r="AA34">
        <v>2</v>
      </c>
      <c r="AB34" t="s">
        <v>20</v>
      </c>
      <c r="AC34">
        <v>18</v>
      </c>
    </row>
    <row r="35" spans="1:29" x14ac:dyDescent="0.25">
      <c r="L35" s="18"/>
      <c r="N35" s="18"/>
      <c r="T35" s="18"/>
      <c r="W35" s="18"/>
    </row>
    <row r="36" spans="1:29" x14ac:dyDescent="0.25">
      <c r="L36" s="18"/>
      <c r="N36" s="18"/>
      <c r="T36" s="18"/>
      <c r="W36" s="18"/>
    </row>
    <row r="37" spans="1:29" x14ac:dyDescent="0.25">
      <c r="L37" s="18"/>
      <c r="N37" s="18"/>
      <c r="T37" s="18"/>
      <c r="W37" s="19"/>
    </row>
    <row r="38" spans="1:29" x14ac:dyDescent="0.25">
      <c r="L38" s="18"/>
      <c r="N38" s="18"/>
      <c r="T38" s="18"/>
      <c r="W38" s="19"/>
    </row>
    <row r="39" spans="1:29" x14ac:dyDescent="0.25">
      <c r="L39" s="18"/>
      <c r="N39" s="18"/>
      <c r="T39" s="18"/>
      <c r="W39" s="19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F02F7-F9A6-4137-AE68-F81A0B5168CE}">
  <sheetPr codeName="Planilha3">
    <tabColor rgb="FF00B050"/>
  </sheetPr>
  <dimension ref="A1:AC69"/>
  <sheetViews>
    <sheetView workbookViewId="0">
      <selection activeCell="A3" sqref="A3:AC64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.71093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4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408.29999999999995</v>
      </c>
    </row>
    <row r="2" spans="1:29" s="30" customFormat="1" ht="15.75" thickBot="1" x14ac:dyDescent="0.3">
      <c r="A2" s="27" t="s">
        <v>28</v>
      </c>
      <c r="B2" s="28" t="s">
        <v>27</v>
      </c>
      <c r="C2" s="28" t="s">
        <v>26</v>
      </c>
      <c r="D2" s="28" t="s">
        <v>29</v>
      </c>
      <c r="E2" s="28" t="s">
        <v>30</v>
      </c>
      <c r="F2" s="28" t="s">
        <v>31</v>
      </c>
      <c r="G2" s="28" t="s">
        <v>32</v>
      </c>
      <c r="H2" s="28" t="s">
        <v>33</v>
      </c>
      <c r="I2" s="28" t="s">
        <v>34</v>
      </c>
      <c r="J2" s="29" t="s">
        <v>35</v>
      </c>
      <c r="K2" s="31"/>
    </row>
    <row r="3" spans="1:29" x14ac:dyDescent="0.25">
      <c r="A3">
        <v>84954844</v>
      </c>
      <c r="B3">
        <v>2011395910</v>
      </c>
      <c r="C3">
        <v>490</v>
      </c>
      <c r="E3" t="s">
        <v>9</v>
      </c>
      <c r="F3" t="s">
        <v>130</v>
      </c>
      <c r="G3">
        <v>2</v>
      </c>
      <c r="H3">
        <v>18</v>
      </c>
      <c r="I3">
        <v>0</v>
      </c>
      <c r="J3">
        <v>9</v>
      </c>
      <c r="K3" t="s">
        <v>59</v>
      </c>
      <c r="L3" s="18">
        <v>0.625</v>
      </c>
      <c r="M3" t="s">
        <v>59</v>
      </c>
      <c r="N3" s="18">
        <v>1</v>
      </c>
      <c r="O3" t="s">
        <v>11</v>
      </c>
      <c r="P3" t="s">
        <v>14</v>
      </c>
      <c r="Q3" t="s">
        <v>13</v>
      </c>
      <c r="T3" s="18">
        <v>0</v>
      </c>
      <c r="W3" s="18">
        <v>1</v>
      </c>
      <c r="Y3">
        <v>0</v>
      </c>
      <c r="Z3">
        <v>0</v>
      </c>
      <c r="AA3">
        <v>2</v>
      </c>
      <c r="AB3" t="s">
        <v>20</v>
      </c>
      <c r="AC3">
        <v>18</v>
      </c>
    </row>
    <row r="4" spans="1:29" x14ac:dyDescent="0.25">
      <c r="A4">
        <v>84954846</v>
      </c>
      <c r="B4">
        <v>2011395910</v>
      </c>
      <c r="C4">
        <v>540</v>
      </c>
      <c r="E4" t="s">
        <v>9</v>
      </c>
      <c r="F4" t="s">
        <v>131</v>
      </c>
      <c r="G4">
        <v>2</v>
      </c>
      <c r="H4">
        <v>18</v>
      </c>
      <c r="I4">
        <v>0</v>
      </c>
      <c r="J4">
        <v>9</v>
      </c>
      <c r="K4" t="s">
        <v>62</v>
      </c>
      <c r="L4" s="18">
        <v>0.45833333333333331</v>
      </c>
      <c r="M4" t="s">
        <v>62</v>
      </c>
      <c r="N4" s="18">
        <v>0.83333333333333337</v>
      </c>
      <c r="O4" t="s">
        <v>11</v>
      </c>
      <c r="P4" t="s">
        <v>14</v>
      </c>
      <c r="Q4" t="s">
        <v>13</v>
      </c>
      <c r="T4" s="18">
        <v>0</v>
      </c>
      <c r="W4" s="18">
        <v>1</v>
      </c>
      <c r="Y4">
        <v>0</v>
      </c>
      <c r="Z4">
        <v>0</v>
      </c>
      <c r="AA4">
        <v>2</v>
      </c>
      <c r="AB4" t="s">
        <v>20</v>
      </c>
      <c r="AC4">
        <v>18</v>
      </c>
    </row>
    <row r="5" spans="1:29" x14ac:dyDescent="0.25">
      <c r="A5">
        <v>116073999</v>
      </c>
      <c r="B5">
        <v>2025424919</v>
      </c>
      <c r="C5">
        <v>100</v>
      </c>
      <c r="E5" t="s">
        <v>9</v>
      </c>
      <c r="F5" t="s">
        <v>133</v>
      </c>
      <c r="G5">
        <v>1</v>
      </c>
      <c r="H5">
        <v>2</v>
      </c>
      <c r="I5">
        <v>0</v>
      </c>
      <c r="J5">
        <v>2</v>
      </c>
      <c r="K5" t="s">
        <v>59</v>
      </c>
      <c r="L5" s="18">
        <v>0.62749999999999995</v>
      </c>
      <c r="M5" t="s">
        <v>59</v>
      </c>
      <c r="N5" s="18">
        <v>0.69416666666666671</v>
      </c>
      <c r="O5" t="s">
        <v>11</v>
      </c>
      <c r="P5" t="s">
        <v>14</v>
      </c>
      <c r="Q5" t="s">
        <v>13</v>
      </c>
      <c r="T5" s="18">
        <v>0</v>
      </c>
      <c r="W5" s="18">
        <v>0</v>
      </c>
      <c r="Y5">
        <v>0</v>
      </c>
      <c r="Z5">
        <v>0</v>
      </c>
      <c r="AA5">
        <v>1</v>
      </c>
      <c r="AB5" t="s">
        <v>20</v>
      </c>
      <c r="AC5">
        <v>18</v>
      </c>
    </row>
    <row r="6" spans="1:29" x14ac:dyDescent="0.25">
      <c r="A6">
        <v>106205146</v>
      </c>
      <c r="B6">
        <v>2026777600</v>
      </c>
      <c r="C6">
        <v>30</v>
      </c>
      <c r="E6" t="s">
        <v>9</v>
      </c>
      <c r="F6" t="s">
        <v>134</v>
      </c>
      <c r="G6">
        <v>2</v>
      </c>
      <c r="H6">
        <v>4</v>
      </c>
      <c r="I6">
        <v>0</v>
      </c>
      <c r="J6">
        <v>2</v>
      </c>
      <c r="K6" t="s">
        <v>59</v>
      </c>
      <c r="L6" s="18">
        <v>0.32916666666666666</v>
      </c>
      <c r="M6" t="s">
        <v>59</v>
      </c>
      <c r="N6" s="18">
        <v>0.39583333333333331</v>
      </c>
      <c r="O6" t="s">
        <v>11</v>
      </c>
      <c r="P6" t="s">
        <v>14</v>
      </c>
      <c r="Q6" t="s">
        <v>13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20</v>
      </c>
      <c r="AC6">
        <v>18</v>
      </c>
    </row>
    <row r="7" spans="1:29" x14ac:dyDescent="0.25">
      <c r="A7">
        <v>106205147</v>
      </c>
      <c r="B7">
        <v>2026777600</v>
      </c>
      <c r="C7">
        <v>40</v>
      </c>
      <c r="E7" t="s">
        <v>9</v>
      </c>
      <c r="F7" t="s">
        <v>135</v>
      </c>
      <c r="G7">
        <v>2</v>
      </c>
      <c r="H7">
        <v>2</v>
      </c>
      <c r="I7">
        <v>0</v>
      </c>
      <c r="J7">
        <v>1</v>
      </c>
      <c r="K7" t="s">
        <v>59</v>
      </c>
      <c r="L7" s="18">
        <v>0.39583333333333331</v>
      </c>
      <c r="M7" t="s">
        <v>59</v>
      </c>
      <c r="N7" s="18">
        <v>0.42916666666666664</v>
      </c>
      <c r="O7" t="s">
        <v>55</v>
      </c>
      <c r="P7" t="s">
        <v>14</v>
      </c>
      <c r="Q7" t="s">
        <v>13</v>
      </c>
      <c r="T7" s="18">
        <v>0</v>
      </c>
      <c r="W7" s="18">
        <v>0</v>
      </c>
      <c r="Y7">
        <v>0</v>
      </c>
      <c r="Z7">
        <v>0</v>
      </c>
      <c r="AA7">
        <v>2</v>
      </c>
      <c r="AB7" t="s">
        <v>20</v>
      </c>
      <c r="AC7">
        <v>18</v>
      </c>
    </row>
    <row r="8" spans="1:29" x14ac:dyDescent="0.25">
      <c r="A8">
        <v>106205149</v>
      </c>
      <c r="B8">
        <v>2026777600</v>
      </c>
      <c r="C8">
        <v>60</v>
      </c>
      <c r="E8" t="s">
        <v>9</v>
      </c>
      <c r="F8" t="s">
        <v>136</v>
      </c>
      <c r="G8">
        <v>2</v>
      </c>
      <c r="H8">
        <v>8</v>
      </c>
      <c r="I8">
        <v>0</v>
      </c>
      <c r="J8">
        <v>4</v>
      </c>
      <c r="K8" t="s">
        <v>62</v>
      </c>
      <c r="L8" s="18">
        <v>0.37916666666666665</v>
      </c>
      <c r="M8" t="s">
        <v>62</v>
      </c>
      <c r="N8" s="18">
        <v>0.5541666666666667</v>
      </c>
      <c r="O8" t="s">
        <v>11</v>
      </c>
      <c r="P8" t="s">
        <v>14</v>
      </c>
      <c r="Q8" t="s">
        <v>13</v>
      </c>
      <c r="T8" s="18">
        <v>0</v>
      </c>
      <c r="W8" s="18">
        <v>0</v>
      </c>
      <c r="Y8">
        <v>0</v>
      </c>
      <c r="Z8">
        <v>0</v>
      </c>
      <c r="AA8">
        <v>2</v>
      </c>
      <c r="AB8" t="s">
        <v>20</v>
      </c>
      <c r="AC8">
        <v>18</v>
      </c>
    </row>
    <row r="9" spans="1:29" x14ac:dyDescent="0.25">
      <c r="A9">
        <v>119788607</v>
      </c>
      <c r="B9">
        <v>2026973405</v>
      </c>
      <c r="C9">
        <v>600</v>
      </c>
      <c r="E9" t="s">
        <v>9</v>
      </c>
      <c r="F9" t="s">
        <v>137</v>
      </c>
      <c r="G9">
        <v>4</v>
      </c>
      <c r="H9">
        <v>64</v>
      </c>
      <c r="I9">
        <v>0</v>
      </c>
      <c r="J9">
        <v>16</v>
      </c>
      <c r="K9" t="s">
        <v>59</v>
      </c>
      <c r="L9" s="18">
        <v>0.6875</v>
      </c>
      <c r="M9" t="s">
        <v>60</v>
      </c>
      <c r="N9" s="18">
        <v>0.60416666666666663</v>
      </c>
      <c r="O9" t="s">
        <v>40</v>
      </c>
      <c r="P9" t="s">
        <v>12</v>
      </c>
      <c r="Q9" t="s">
        <v>13</v>
      </c>
      <c r="T9" s="18">
        <v>0</v>
      </c>
      <c r="W9" s="19">
        <v>0</v>
      </c>
      <c r="Y9">
        <v>0</v>
      </c>
      <c r="Z9">
        <v>0</v>
      </c>
      <c r="AA9">
        <v>2</v>
      </c>
      <c r="AB9" t="s">
        <v>20</v>
      </c>
      <c r="AC9">
        <v>18</v>
      </c>
    </row>
    <row r="10" spans="1:29" x14ac:dyDescent="0.25">
      <c r="A10">
        <v>119788611</v>
      </c>
      <c r="B10">
        <v>2026973405</v>
      </c>
      <c r="C10">
        <v>800</v>
      </c>
      <c r="E10" t="s">
        <v>9</v>
      </c>
      <c r="F10" t="s">
        <v>138</v>
      </c>
      <c r="G10">
        <v>1</v>
      </c>
      <c r="H10">
        <v>0.2</v>
      </c>
      <c r="I10">
        <v>0</v>
      </c>
      <c r="J10">
        <v>0.2</v>
      </c>
      <c r="K10" t="s">
        <v>59</v>
      </c>
      <c r="L10" s="18">
        <v>0.6875</v>
      </c>
      <c r="M10" t="s">
        <v>59</v>
      </c>
      <c r="N10" s="18">
        <v>0.6958333333333333</v>
      </c>
      <c r="O10" t="s">
        <v>15</v>
      </c>
      <c r="P10" t="s">
        <v>12</v>
      </c>
      <c r="Q10" t="s">
        <v>13</v>
      </c>
      <c r="T10" s="18">
        <v>0</v>
      </c>
      <c r="W10" s="19">
        <v>0</v>
      </c>
      <c r="Y10">
        <v>0</v>
      </c>
      <c r="Z10">
        <v>0</v>
      </c>
      <c r="AA10">
        <v>2</v>
      </c>
      <c r="AB10" t="s">
        <v>20</v>
      </c>
      <c r="AC10">
        <v>18</v>
      </c>
    </row>
    <row r="11" spans="1:29" x14ac:dyDescent="0.25">
      <c r="A11">
        <v>133868407</v>
      </c>
      <c r="B11">
        <v>2028602610</v>
      </c>
      <c r="C11">
        <v>25</v>
      </c>
      <c r="E11" t="s">
        <v>9</v>
      </c>
      <c r="F11" t="s">
        <v>143</v>
      </c>
      <c r="G11">
        <v>2</v>
      </c>
      <c r="H11">
        <v>6</v>
      </c>
      <c r="I11">
        <v>0</v>
      </c>
      <c r="J11">
        <v>3</v>
      </c>
      <c r="K11" t="s">
        <v>59</v>
      </c>
      <c r="L11" s="18">
        <v>0.3125</v>
      </c>
      <c r="M11" t="s">
        <v>59</v>
      </c>
      <c r="N11" s="18">
        <v>0.4375</v>
      </c>
      <c r="O11" t="s">
        <v>40</v>
      </c>
      <c r="P11" t="s">
        <v>14</v>
      </c>
      <c r="Q11" t="s">
        <v>13</v>
      </c>
      <c r="T11" s="18">
        <v>0</v>
      </c>
      <c r="W11" s="18">
        <v>0</v>
      </c>
      <c r="Y11">
        <v>0</v>
      </c>
      <c r="Z11">
        <v>0</v>
      </c>
      <c r="AA11">
        <v>1</v>
      </c>
      <c r="AB11" t="s">
        <v>20</v>
      </c>
      <c r="AC11">
        <v>18</v>
      </c>
    </row>
    <row r="12" spans="1:29" x14ac:dyDescent="0.25">
      <c r="A12">
        <v>133868410</v>
      </c>
      <c r="B12">
        <v>2028602610</v>
      </c>
      <c r="C12">
        <v>30</v>
      </c>
      <c r="E12" t="s">
        <v>9</v>
      </c>
      <c r="F12" t="s">
        <v>144</v>
      </c>
      <c r="G12">
        <v>2</v>
      </c>
      <c r="H12">
        <v>6</v>
      </c>
      <c r="I12">
        <v>0</v>
      </c>
      <c r="J12">
        <v>3</v>
      </c>
      <c r="K12" t="s">
        <v>59</v>
      </c>
      <c r="L12" s="18">
        <v>0.47916666666666669</v>
      </c>
      <c r="M12" t="s">
        <v>59</v>
      </c>
      <c r="N12" s="18">
        <v>0.64583333333333337</v>
      </c>
      <c r="O12" t="s">
        <v>40</v>
      </c>
      <c r="P12" t="s">
        <v>14</v>
      </c>
      <c r="Q12" t="s">
        <v>13</v>
      </c>
      <c r="T12" s="18">
        <v>0</v>
      </c>
      <c r="W12" s="18">
        <v>0</v>
      </c>
      <c r="Y12">
        <v>0</v>
      </c>
      <c r="Z12">
        <v>0</v>
      </c>
      <c r="AA12">
        <v>1</v>
      </c>
      <c r="AB12" t="s">
        <v>20</v>
      </c>
      <c r="AC12">
        <v>18</v>
      </c>
    </row>
    <row r="13" spans="1:29" x14ac:dyDescent="0.25">
      <c r="A13">
        <v>133868415</v>
      </c>
      <c r="B13">
        <v>2028602610</v>
      </c>
      <c r="C13">
        <v>50</v>
      </c>
      <c r="E13" t="s">
        <v>9</v>
      </c>
      <c r="F13" t="s">
        <v>145</v>
      </c>
      <c r="G13">
        <v>1</v>
      </c>
      <c r="H13">
        <v>0.2</v>
      </c>
      <c r="I13">
        <v>0</v>
      </c>
      <c r="J13">
        <v>0.2</v>
      </c>
      <c r="K13" t="s">
        <v>62</v>
      </c>
      <c r="L13" s="18">
        <v>0.60416666666666663</v>
      </c>
      <c r="M13" t="s">
        <v>62</v>
      </c>
      <c r="N13" s="18">
        <v>0.61250000000000004</v>
      </c>
      <c r="O13" t="s">
        <v>40</v>
      </c>
      <c r="P13" t="s">
        <v>14</v>
      </c>
      <c r="Q13" t="s">
        <v>13</v>
      </c>
      <c r="T13" s="18">
        <v>0</v>
      </c>
      <c r="W13" s="18">
        <v>0</v>
      </c>
      <c r="Y13">
        <v>0</v>
      </c>
      <c r="Z13">
        <v>0</v>
      </c>
      <c r="AA13">
        <v>1</v>
      </c>
      <c r="AB13" t="s">
        <v>20</v>
      </c>
      <c r="AC13">
        <v>18</v>
      </c>
    </row>
    <row r="14" spans="1:29" x14ac:dyDescent="0.25">
      <c r="A14">
        <v>133868390</v>
      </c>
      <c r="B14">
        <v>2028602611</v>
      </c>
      <c r="C14">
        <v>30</v>
      </c>
      <c r="E14" t="s">
        <v>9</v>
      </c>
      <c r="F14" t="s">
        <v>146</v>
      </c>
      <c r="G14">
        <v>2</v>
      </c>
      <c r="H14">
        <v>6</v>
      </c>
      <c r="I14">
        <v>0</v>
      </c>
      <c r="J14">
        <v>3</v>
      </c>
      <c r="K14" t="s">
        <v>59</v>
      </c>
      <c r="L14" s="18">
        <v>0.3125</v>
      </c>
      <c r="M14" t="s">
        <v>59</v>
      </c>
      <c r="N14" s="18">
        <v>0.4375</v>
      </c>
      <c r="O14" t="s">
        <v>40</v>
      </c>
      <c r="P14" t="s">
        <v>14</v>
      </c>
      <c r="Q14" t="s">
        <v>13</v>
      </c>
      <c r="T14" s="18">
        <v>0</v>
      </c>
      <c r="W14" s="18">
        <v>0</v>
      </c>
      <c r="Y14">
        <v>0</v>
      </c>
      <c r="Z14">
        <v>0</v>
      </c>
      <c r="AA14">
        <v>1</v>
      </c>
      <c r="AB14" t="s">
        <v>20</v>
      </c>
      <c r="AC14">
        <v>18</v>
      </c>
    </row>
    <row r="15" spans="1:29" x14ac:dyDescent="0.25">
      <c r="A15">
        <v>116863571</v>
      </c>
      <c r="B15">
        <v>2028602611</v>
      </c>
      <c r="C15">
        <v>70</v>
      </c>
      <c r="E15" t="s">
        <v>9</v>
      </c>
      <c r="F15" t="s">
        <v>147</v>
      </c>
      <c r="G15">
        <v>1</v>
      </c>
      <c r="H15">
        <v>0.2</v>
      </c>
      <c r="I15">
        <v>0</v>
      </c>
      <c r="J15">
        <v>0.2</v>
      </c>
      <c r="K15" t="s">
        <v>62</v>
      </c>
      <c r="L15" s="18">
        <v>0.5625</v>
      </c>
      <c r="M15" t="s">
        <v>62</v>
      </c>
      <c r="N15" s="18">
        <v>0.5708333333333333</v>
      </c>
      <c r="O15" t="s">
        <v>40</v>
      </c>
      <c r="P15" t="s">
        <v>14</v>
      </c>
      <c r="Q15" t="s">
        <v>13</v>
      </c>
      <c r="T15" s="18">
        <v>0</v>
      </c>
      <c r="W15" s="18">
        <v>0</v>
      </c>
      <c r="Y15">
        <v>0</v>
      </c>
      <c r="Z15">
        <v>0</v>
      </c>
      <c r="AA15">
        <v>1</v>
      </c>
      <c r="AB15" t="s">
        <v>20</v>
      </c>
      <c r="AC15">
        <v>18</v>
      </c>
    </row>
    <row r="16" spans="1:29" x14ac:dyDescent="0.25">
      <c r="A16">
        <v>121247678</v>
      </c>
      <c r="B16">
        <v>2029462344</v>
      </c>
      <c r="C16">
        <v>280</v>
      </c>
      <c r="E16" t="s">
        <v>9</v>
      </c>
      <c r="F16" t="s">
        <v>148</v>
      </c>
      <c r="G16">
        <v>2</v>
      </c>
      <c r="H16">
        <v>8</v>
      </c>
      <c r="I16">
        <v>0</v>
      </c>
      <c r="J16">
        <v>4</v>
      </c>
      <c r="K16" t="s">
        <v>59</v>
      </c>
      <c r="L16" s="18">
        <v>0.58750000000000002</v>
      </c>
      <c r="M16" t="s">
        <v>59</v>
      </c>
      <c r="N16" s="18">
        <v>0.72083333333333333</v>
      </c>
      <c r="O16" t="s">
        <v>40</v>
      </c>
      <c r="P16" t="s">
        <v>14</v>
      </c>
      <c r="Q16" t="s">
        <v>13</v>
      </c>
      <c r="T16" s="18">
        <v>0</v>
      </c>
      <c r="W16" s="18">
        <v>0</v>
      </c>
      <c r="Y16">
        <v>0</v>
      </c>
      <c r="Z16">
        <v>0</v>
      </c>
      <c r="AA16">
        <v>1</v>
      </c>
      <c r="AB16" t="s">
        <v>20</v>
      </c>
      <c r="AC16">
        <v>18</v>
      </c>
    </row>
    <row r="17" spans="1:29" x14ac:dyDescent="0.25">
      <c r="A17">
        <v>121247679</v>
      </c>
      <c r="B17">
        <v>2029462344</v>
      </c>
      <c r="C17">
        <v>290</v>
      </c>
      <c r="E17" t="s">
        <v>9</v>
      </c>
      <c r="F17" t="s">
        <v>149</v>
      </c>
      <c r="G17">
        <v>2</v>
      </c>
      <c r="H17">
        <v>8</v>
      </c>
      <c r="I17">
        <v>0</v>
      </c>
      <c r="J17">
        <v>4</v>
      </c>
      <c r="K17" t="s">
        <v>62</v>
      </c>
      <c r="L17" s="18">
        <v>0.40416666666666667</v>
      </c>
      <c r="M17" t="s">
        <v>62</v>
      </c>
      <c r="N17" s="18">
        <v>0.57916666666666672</v>
      </c>
      <c r="O17" t="s">
        <v>40</v>
      </c>
      <c r="P17" t="s">
        <v>14</v>
      </c>
      <c r="Q17" t="s">
        <v>13</v>
      </c>
      <c r="T17" s="18">
        <v>0</v>
      </c>
      <c r="W17" s="18">
        <v>0</v>
      </c>
      <c r="Y17">
        <v>0</v>
      </c>
      <c r="Z17">
        <v>0</v>
      </c>
      <c r="AA17">
        <v>1</v>
      </c>
      <c r="AB17" t="s">
        <v>20</v>
      </c>
      <c r="AC17">
        <v>18</v>
      </c>
    </row>
    <row r="18" spans="1:29" x14ac:dyDescent="0.25">
      <c r="A18">
        <v>122615365</v>
      </c>
      <c r="B18">
        <v>2029637692</v>
      </c>
      <c r="C18">
        <v>670</v>
      </c>
      <c r="E18" t="s">
        <v>9</v>
      </c>
      <c r="F18" t="s">
        <v>150</v>
      </c>
      <c r="G18">
        <v>2</v>
      </c>
      <c r="H18">
        <v>8</v>
      </c>
      <c r="I18">
        <v>0</v>
      </c>
      <c r="J18">
        <v>4</v>
      </c>
      <c r="K18" t="s">
        <v>59</v>
      </c>
      <c r="L18" s="18">
        <v>4.1666666666666664E-2</v>
      </c>
      <c r="M18" t="s">
        <v>59</v>
      </c>
      <c r="N18" s="18">
        <v>0.20833333333333334</v>
      </c>
      <c r="O18" t="s">
        <v>40</v>
      </c>
      <c r="P18" t="s">
        <v>14</v>
      </c>
      <c r="Q18" t="s">
        <v>13</v>
      </c>
      <c r="T18" s="18">
        <v>0</v>
      </c>
      <c r="W18" s="18">
        <v>0</v>
      </c>
      <c r="Y18">
        <v>0</v>
      </c>
      <c r="Z18">
        <v>0</v>
      </c>
      <c r="AA18">
        <v>2</v>
      </c>
      <c r="AB18" t="s">
        <v>20</v>
      </c>
      <c r="AC18">
        <v>18</v>
      </c>
    </row>
    <row r="19" spans="1:29" x14ac:dyDescent="0.25">
      <c r="A19">
        <v>122615373</v>
      </c>
      <c r="B19">
        <v>2029637692</v>
      </c>
      <c r="C19">
        <v>690</v>
      </c>
      <c r="E19" t="s">
        <v>9</v>
      </c>
      <c r="F19" t="s">
        <v>151</v>
      </c>
      <c r="G19">
        <v>2</v>
      </c>
      <c r="H19">
        <v>8</v>
      </c>
      <c r="I19">
        <v>0</v>
      </c>
      <c r="J19">
        <v>4</v>
      </c>
      <c r="K19" t="s">
        <v>59</v>
      </c>
      <c r="L19" s="18">
        <v>0.20833333333333334</v>
      </c>
      <c r="M19" t="s">
        <v>59</v>
      </c>
      <c r="N19" s="18">
        <v>0.375</v>
      </c>
      <c r="O19" t="s">
        <v>40</v>
      </c>
      <c r="P19" t="s">
        <v>14</v>
      </c>
      <c r="Q19" t="s">
        <v>13</v>
      </c>
      <c r="T19" s="18">
        <v>0</v>
      </c>
      <c r="W19" s="18">
        <v>0</v>
      </c>
      <c r="Y19">
        <v>0</v>
      </c>
      <c r="Z19">
        <v>0</v>
      </c>
      <c r="AA19">
        <v>2</v>
      </c>
      <c r="AB19" t="s">
        <v>20</v>
      </c>
      <c r="AC19">
        <v>18</v>
      </c>
    </row>
    <row r="20" spans="1:29" x14ac:dyDescent="0.25">
      <c r="A20">
        <v>122615375</v>
      </c>
      <c r="B20">
        <v>2029637692</v>
      </c>
      <c r="C20">
        <v>710</v>
      </c>
      <c r="E20" t="s">
        <v>9</v>
      </c>
      <c r="F20" t="s">
        <v>152</v>
      </c>
      <c r="G20">
        <v>2</v>
      </c>
      <c r="H20">
        <v>6</v>
      </c>
      <c r="I20">
        <v>0</v>
      </c>
      <c r="J20">
        <v>3</v>
      </c>
      <c r="K20" t="s">
        <v>59</v>
      </c>
      <c r="L20" s="18">
        <v>0.41666666666666669</v>
      </c>
      <c r="M20" t="s">
        <v>59</v>
      </c>
      <c r="N20" s="18">
        <v>0.54166666666666663</v>
      </c>
      <c r="O20" t="s">
        <v>40</v>
      </c>
      <c r="P20" t="s">
        <v>14</v>
      </c>
      <c r="Q20" t="s">
        <v>13</v>
      </c>
      <c r="T20" s="18">
        <v>0</v>
      </c>
      <c r="W20" s="18">
        <v>0</v>
      </c>
      <c r="Y20">
        <v>0</v>
      </c>
      <c r="Z20">
        <v>0</v>
      </c>
      <c r="AA20">
        <v>2</v>
      </c>
      <c r="AB20" t="s">
        <v>20</v>
      </c>
      <c r="AC20">
        <v>18</v>
      </c>
    </row>
    <row r="21" spans="1:29" x14ac:dyDescent="0.25">
      <c r="A21">
        <v>122615382</v>
      </c>
      <c r="B21">
        <v>2029637692</v>
      </c>
      <c r="C21">
        <v>730</v>
      </c>
      <c r="E21" t="s">
        <v>9</v>
      </c>
      <c r="F21" t="s">
        <v>153</v>
      </c>
      <c r="G21">
        <v>2</v>
      </c>
      <c r="H21">
        <v>8</v>
      </c>
      <c r="I21">
        <v>0</v>
      </c>
      <c r="J21">
        <v>4</v>
      </c>
      <c r="K21" t="s">
        <v>59</v>
      </c>
      <c r="L21" s="18">
        <v>0.66666666666666663</v>
      </c>
      <c r="M21" t="s">
        <v>59</v>
      </c>
      <c r="N21" s="18">
        <v>0.83333333333333337</v>
      </c>
      <c r="O21" t="s">
        <v>40</v>
      </c>
      <c r="P21" t="s">
        <v>14</v>
      </c>
      <c r="Q21" t="s">
        <v>13</v>
      </c>
      <c r="T21" s="18">
        <v>0</v>
      </c>
      <c r="W21" s="18">
        <v>0</v>
      </c>
      <c r="Y21">
        <v>0</v>
      </c>
      <c r="Z21">
        <v>0</v>
      </c>
      <c r="AA21">
        <v>2</v>
      </c>
      <c r="AB21" t="s">
        <v>20</v>
      </c>
      <c r="AC21">
        <v>18</v>
      </c>
    </row>
    <row r="22" spans="1:29" x14ac:dyDescent="0.25">
      <c r="A22">
        <v>122615386</v>
      </c>
      <c r="B22">
        <v>2029637692</v>
      </c>
      <c r="C22">
        <v>750</v>
      </c>
      <c r="E22" t="s">
        <v>9</v>
      </c>
      <c r="F22" t="s">
        <v>154</v>
      </c>
      <c r="G22">
        <v>4</v>
      </c>
      <c r="H22">
        <v>16</v>
      </c>
      <c r="I22">
        <v>0</v>
      </c>
      <c r="J22">
        <v>4</v>
      </c>
      <c r="K22" t="s">
        <v>59</v>
      </c>
      <c r="L22" s="18">
        <v>8.3333333333333329E-2</v>
      </c>
      <c r="M22" t="s">
        <v>59</v>
      </c>
      <c r="N22" s="18">
        <v>0.25</v>
      </c>
      <c r="O22" t="s">
        <v>40</v>
      </c>
      <c r="P22" t="s">
        <v>14</v>
      </c>
      <c r="Q22" t="s">
        <v>13</v>
      </c>
      <c r="T22" s="18">
        <v>0</v>
      </c>
      <c r="W22" s="18">
        <v>0</v>
      </c>
      <c r="Y22">
        <v>0</v>
      </c>
      <c r="Z22">
        <v>0</v>
      </c>
      <c r="AA22">
        <v>2</v>
      </c>
      <c r="AB22" t="s">
        <v>20</v>
      </c>
      <c r="AC22">
        <v>18</v>
      </c>
    </row>
    <row r="23" spans="1:29" x14ac:dyDescent="0.25">
      <c r="A23">
        <v>122615387</v>
      </c>
      <c r="B23">
        <v>2029637692</v>
      </c>
      <c r="C23">
        <v>770</v>
      </c>
      <c r="E23" t="s">
        <v>9</v>
      </c>
      <c r="F23" t="s">
        <v>155</v>
      </c>
      <c r="G23">
        <v>2</v>
      </c>
      <c r="H23">
        <v>4</v>
      </c>
      <c r="I23">
        <v>0</v>
      </c>
      <c r="J23">
        <v>2</v>
      </c>
      <c r="K23" t="s">
        <v>59</v>
      </c>
      <c r="L23" s="18">
        <v>0.25</v>
      </c>
      <c r="M23" t="s">
        <v>59</v>
      </c>
      <c r="N23" s="18">
        <v>0.33333333333333331</v>
      </c>
      <c r="O23" t="s">
        <v>40</v>
      </c>
      <c r="P23" t="s">
        <v>14</v>
      </c>
      <c r="Q23" t="s">
        <v>13</v>
      </c>
      <c r="T23" s="18">
        <v>0</v>
      </c>
      <c r="W23" s="18">
        <v>0</v>
      </c>
      <c r="Y23">
        <v>0</v>
      </c>
      <c r="Z23">
        <v>0</v>
      </c>
      <c r="AA23">
        <v>2</v>
      </c>
      <c r="AB23" t="s">
        <v>20</v>
      </c>
      <c r="AC23">
        <v>18</v>
      </c>
    </row>
    <row r="24" spans="1:29" x14ac:dyDescent="0.25">
      <c r="A24">
        <v>126580663</v>
      </c>
      <c r="B24">
        <v>2030283038</v>
      </c>
      <c r="C24">
        <v>180</v>
      </c>
      <c r="E24" t="s">
        <v>9</v>
      </c>
      <c r="F24" t="s">
        <v>157</v>
      </c>
      <c r="G24">
        <v>1</v>
      </c>
      <c r="H24">
        <v>2</v>
      </c>
      <c r="I24">
        <v>0</v>
      </c>
      <c r="J24">
        <v>2</v>
      </c>
      <c r="K24" t="s">
        <v>59</v>
      </c>
      <c r="L24" s="18">
        <v>0.3125</v>
      </c>
      <c r="M24" t="s">
        <v>59</v>
      </c>
      <c r="N24" s="18">
        <v>0.37916666666666665</v>
      </c>
      <c r="O24" t="s">
        <v>11</v>
      </c>
      <c r="P24" t="s">
        <v>14</v>
      </c>
      <c r="Q24" t="s">
        <v>13</v>
      </c>
      <c r="T24" s="18">
        <v>0</v>
      </c>
      <c r="W24" s="18">
        <v>0</v>
      </c>
      <c r="Y24">
        <v>0</v>
      </c>
      <c r="Z24">
        <v>0</v>
      </c>
      <c r="AA24">
        <v>1</v>
      </c>
      <c r="AB24" t="s">
        <v>20</v>
      </c>
      <c r="AC24">
        <v>18</v>
      </c>
    </row>
    <row r="25" spans="1:29" x14ac:dyDescent="0.25">
      <c r="A25">
        <v>126729769</v>
      </c>
      <c r="B25">
        <v>2030318670</v>
      </c>
      <c r="C25">
        <v>10</v>
      </c>
      <c r="E25" t="s">
        <v>9</v>
      </c>
      <c r="F25" t="s">
        <v>158</v>
      </c>
      <c r="G25">
        <v>2</v>
      </c>
      <c r="H25">
        <v>8</v>
      </c>
      <c r="I25">
        <v>0</v>
      </c>
      <c r="J25">
        <v>4</v>
      </c>
      <c r="K25" t="s">
        <v>59</v>
      </c>
      <c r="L25" s="18">
        <v>0.35416666666666669</v>
      </c>
      <c r="M25" t="s">
        <v>59</v>
      </c>
      <c r="N25" s="18">
        <v>0.5625</v>
      </c>
      <c r="O25" t="s">
        <v>11</v>
      </c>
      <c r="P25" t="s">
        <v>14</v>
      </c>
      <c r="Q25" t="s">
        <v>13</v>
      </c>
      <c r="T25" s="18">
        <v>0</v>
      </c>
      <c r="W25" s="18">
        <v>0</v>
      </c>
      <c r="Y25">
        <v>0</v>
      </c>
      <c r="Z25">
        <v>0</v>
      </c>
      <c r="AA25">
        <v>1</v>
      </c>
      <c r="AB25" t="s">
        <v>20</v>
      </c>
      <c r="AC25">
        <v>18</v>
      </c>
    </row>
    <row r="26" spans="1:29" x14ac:dyDescent="0.25">
      <c r="A26">
        <v>128537246</v>
      </c>
      <c r="B26">
        <v>2030342743</v>
      </c>
      <c r="C26">
        <v>20</v>
      </c>
      <c r="E26" t="s">
        <v>9</v>
      </c>
      <c r="F26" t="s">
        <v>159</v>
      </c>
      <c r="G26">
        <v>2</v>
      </c>
      <c r="H26">
        <v>4</v>
      </c>
      <c r="I26">
        <v>0</v>
      </c>
      <c r="J26">
        <v>2</v>
      </c>
      <c r="K26" t="s">
        <v>59</v>
      </c>
      <c r="L26" s="18">
        <v>0.5625</v>
      </c>
      <c r="M26" t="s">
        <v>59</v>
      </c>
      <c r="N26" s="18">
        <v>0.64583333333333337</v>
      </c>
      <c r="O26" t="s">
        <v>11</v>
      </c>
      <c r="P26" t="s">
        <v>14</v>
      </c>
      <c r="Q26" t="s">
        <v>13</v>
      </c>
      <c r="T26" s="18">
        <v>0</v>
      </c>
      <c r="W26" s="18">
        <v>0</v>
      </c>
      <c r="Y26">
        <v>0</v>
      </c>
      <c r="Z26">
        <v>0</v>
      </c>
      <c r="AA26">
        <v>1</v>
      </c>
      <c r="AB26" t="s">
        <v>20</v>
      </c>
      <c r="AC26">
        <v>18</v>
      </c>
    </row>
    <row r="27" spans="1:29" x14ac:dyDescent="0.25">
      <c r="A27">
        <v>128537247</v>
      </c>
      <c r="B27">
        <v>2030342743</v>
      </c>
      <c r="C27">
        <v>30</v>
      </c>
      <c r="E27" t="s">
        <v>9</v>
      </c>
      <c r="F27" t="s">
        <v>160</v>
      </c>
      <c r="G27">
        <v>2</v>
      </c>
      <c r="H27">
        <v>48</v>
      </c>
      <c r="I27">
        <v>0</v>
      </c>
      <c r="J27">
        <v>24</v>
      </c>
      <c r="K27" t="s">
        <v>59</v>
      </c>
      <c r="L27" s="18">
        <v>0.3125</v>
      </c>
      <c r="M27" t="s">
        <v>60</v>
      </c>
      <c r="N27" s="18">
        <v>0.60416666666666663</v>
      </c>
      <c r="O27" t="s">
        <v>11</v>
      </c>
      <c r="P27" t="s">
        <v>14</v>
      </c>
      <c r="Q27" t="s">
        <v>13</v>
      </c>
      <c r="T27" s="18">
        <v>0</v>
      </c>
      <c r="W27" s="18">
        <v>0</v>
      </c>
      <c r="Y27">
        <v>0</v>
      </c>
      <c r="Z27">
        <v>0</v>
      </c>
      <c r="AA27">
        <v>1</v>
      </c>
      <c r="AB27" t="s">
        <v>20</v>
      </c>
      <c r="AC27">
        <v>18</v>
      </c>
    </row>
    <row r="28" spans="1:29" x14ac:dyDescent="0.25">
      <c r="A28">
        <v>128537251</v>
      </c>
      <c r="B28">
        <v>2030342743</v>
      </c>
      <c r="C28">
        <v>50</v>
      </c>
      <c r="E28" t="s">
        <v>9</v>
      </c>
      <c r="F28" t="s">
        <v>161</v>
      </c>
      <c r="G28">
        <v>2</v>
      </c>
      <c r="H28">
        <v>4</v>
      </c>
      <c r="I28">
        <v>0</v>
      </c>
      <c r="J28">
        <v>2</v>
      </c>
      <c r="K28" t="s">
        <v>59</v>
      </c>
      <c r="L28" s="18">
        <v>0.3125</v>
      </c>
      <c r="M28" t="s">
        <v>59</v>
      </c>
      <c r="N28" s="18">
        <v>0.39583333333333331</v>
      </c>
      <c r="O28" t="s">
        <v>11</v>
      </c>
      <c r="P28" t="s">
        <v>14</v>
      </c>
      <c r="Q28" t="s">
        <v>13</v>
      </c>
      <c r="T28" s="18">
        <v>0</v>
      </c>
      <c r="W28" s="18">
        <v>0</v>
      </c>
      <c r="Y28">
        <v>0</v>
      </c>
      <c r="Z28">
        <v>0</v>
      </c>
      <c r="AA28">
        <v>1</v>
      </c>
      <c r="AB28" t="s">
        <v>20</v>
      </c>
      <c r="AC28">
        <v>18</v>
      </c>
    </row>
    <row r="29" spans="1:29" x14ac:dyDescent="0.25">
      <c r="A29">
        <v>128537264</v>
      </c>
      <c r="B29">
        <v>2030342743</v>
      </c>
      <c r="C29">
        <v>110</v>
      </c>
      <c r="E29" t="s">
        <v>9</v>
      </c>
      <c r="F29" t="s">
        <v>162</v>
      </c>
      <c r="G29">
        <v>2</v>
      </c>
      <c r="H29">
        <v>4</v>
      </c>
      <c r="I29">
        <v>0</v>
      </c>
      <c r="J29">
        <v>2</v>
      </c>
      <c r="K29" t="s">
        <v>59</v>
      </c>
      <c r="L29" s="18">
        <v>0.39583333333333331</v>
      </c>
      <c r="M29" t="s">
        <v>59</v>
      </c>
      <c r="N29" s="18">
        <v>0.47916666666666669</v>
      </c>
      <c r="O29" t="s">
        <v>11</v>
      </c>
      <c r="P29" t="s">
        <v>14</v>
      </c>
      <c r="Q29" t="s">
        <v>13</v>
      </c>
      <c r="T29" s="18">
        <v>0</v>
      </c>
      <c r="W29" s="18">
        <v>0</v>
      </c>
      <c r="Y29">
        <v>0</v>
      </c>
      <c r="Z29">
        <v>0</v>
      </c>
      <c r="AA29">
        <v>1</v>
      </c>
      <c r="AB29" t="s">
        <v>20</v>
      </c>
      <c r="AC29">
        <v>18</v>
      </c>
    </row>
    <row r="30" spans="1:29" x14ac:dyDescent="0.25">
      <c r="A30">
        <v>128546606</v>
      </c>
      <c r="B30">
        <v>2030342743</v>
      </c>
      <c r="C30">
        <v>122</v>
      </c>
      <c r="E30" t="s">
        <v>9</v>
      </c>
      <c r="F30" t="s">
        <v>163</v>
      </c>
      <c r="G30">
        <v>2</v>
      </c>
      <c r="H30">
        <v>4</v>
      </c>
      <c r="I30">
        <v>0</v>
      </c>
      <c r="J30">
        <v>2</v>
      </c>
      <c r="K30" t="s">
        <v>59</v>
      </c>
      <c r="L30" s="18">
        <v>0.4375</v>
      </c>
      <c r="M30" t="s">
        <v>59</v>
      </c>
      <c r="N30" s="18">
        <v>0.5625</v>
      </c>
      <c r="O30" t="s">
        <v>55</v>
      </c>
      <c r="P30" t="s">
        <v>14</v>
      </c>
      <c r="Q30" t="s">
        <v>13</v>
      </c>
      <c r="T30" s="18">
        <v>0</v>
      </c>
      <c r="W30" s="19">
        <v>0</v>
      </c>
      <c r="Y30">
        <v>0</v>
      </c>
      <c r="Z30">
        <v>0</v>
      </c>
      <c r="AA30">
        <v>1</v>
      </c>
      <c r="AB30" t="s">
        <v>20</v>
      </c>
      <c r="AC30">
        <v>18</v>
      </c>
    </row>
    <row r="31" spans="1:29" x14ac:dyDescent="0.25">
      <c r="A31">
        <v>128546607</v>
      </c>
      <c r="B31">
        <v>2030342743</v>
      </c>
      <c r="C31">
        <v>123</v>
      </c>
      <c r="E31" t="s">
        <v>9</v>
      </c>
      <c r="F31" t="s">
        <v>164</v>
      </c>
      <c r="G31">
        <v>2</v>
      </c>
      <c r="H31">
        <v>6</v>
      </c>
      <c r="I31">
        <v>0</v>
      </c>
      <c r="J31">
        <v>3</v>
      </c>
      <c r="K31" t="s">
        <v>59</v>
      </c>
      <c r="L31" s="18">
        <v>0.47916666666666669</v>
      </c>
      <c r="M31" t="s">
        <v>59</v>
      </c>
      <c r="N31" s="18">
        <v>0.64583333333333337</v>
      </c>
      <c r="O31" t="s">
        <v>11</v>
      </c>
      <c r="P31" t="s">
        <v>14</v>
      </c>
      <c r="Q31" t="s">
        <v>13</v>
      </c>
      <c r="T31" s="18">
        <v>0</v>
      </c>
      <c r="W31" s="18">
        <v>0</v>
      </c>
      <c r="Y31">
        <v>0</v>
      </c>
      <c r="Z31">
        <v>0</v>
      </c>
      <c r="AA31">
        <v>1</v>
      </c>
      <c r="AB31" t="s">
        <v>20</v>
      </c>
      <c r="AC31">
        <v>18</v>
      </c>
    </row>
    <row r="32" spans="1:29" x14ac:dyDescent="0.25">
      <c r="A32">
        <v>128537269</v>
      </c>
      <c r="B32">
        <v>2030342743</v>
      </c>
      <c r="C32">
        <v>125</v>
      </c>
      <c r="E32" t="s">
        <v>9</v>
      </c>
      <c r="F32" t="s">
        <v>165</v>
      </c>
      <c r="G32">
        <v>2</v>
      </c>
      <c r="H32">
        <v>2</v>
      </c>
      <c r="I32">
        <v>0</v>
      </c>
      <c r="J32">
        <v>1</v>
      </c>
      <c r="K32" t="s">
        <v>59</v>
      </c>
      <c r="L32" s="18">
        <v>0.39583333333333331</v>
      </c>
      <c r="M32" t="s">
        <v>59</v>
      </c>
      <c r="N32" s="18">
        <v>0.4375</v>
      </c>
      <c r="O32" t="s">
        <v>11</v>
      </c>
      <c r="P32" t="s">
        <v>14</v>
      </c>
      <c r="Q32" t="s">
        <v>13</v>
      </c>
      <c r="T32" s="18">
        <v>0</v>
      </c>
      <c r="W32" s="18">
        <v>0</v>
      </c>
      <c r="Y32">
        <v>0</v>
      </c>
      <c r="Z32">
        <v>0</v>
      </c>
      <c r="AA32">
        <v>1</v>
      </c>
      <c r="AB32" t="s">
        <v>20</v>
      </c>
      <c r="AC32">
        <v>18</v>
      </c>
    </row>
    <row r="33" spans="1:29" x14ac:dyDescent="0.25">
      <c r="A33">
        <v>128537270</v>
      </c>
      <c r="B33">
        <v>2030342743</v>
      </c>
      <c r="C33">
        <v>130</v>
      </c>
      <c r="E33" t="s">
        <v>9</v>
      </c>
      <c r="F33" t="s">
        <v>166</v>
      </c>
      <c r="G33">
        <v>2</v>
      </c>
      <c r="H33">
        <v>8</v>
      </c>
      <c r="I33">
        <v>0</v>
      </c>
      <c r="J33">
        <v>4</v>
      </c>
      <c r="K33" t="s">
        <v>59</v>
      </c>
      <c r="L33" s="18">
        <v>0.39583333333333331</v>
      </c>
      <c r="M33" t="s">
        <v>59</v>
      </c>
      <c r="N33" s="18">
        <v>0.60416666666666663</v>
      </c>
      <c r="O33" t="s">
        <v>11</v>
      </c>
      <c r="P33" t="s">
        <v>14</v>
      </c>
      <c r="Q33" t="s">
        <v>13</v>
      </c>
      <c r="T33" s="18">
        <v>0</v>
      </c>
      <c r="W33" s="18">
        <v>0</v>
      </c>
      <c r="Y33">
        <v>0</v>
      </c>
      <c r="Z33">
        <v>0</v>
      </c>
      <c r="AA33">
        <v>1</v>
      </c>
      <c r="AB33" t="s">
        <v>20</v>
      </c>
      <c r="AC33">
        <v>18</v>
      </c>
    </row>
    <row r="34" spans="1:29" x14ac:dyDescent="0.25">
      <c r="A34">
        <v>128537271</v>
      </c>
      <c r="B34">
        <v>2030342743</v>
      </c>
      <c r="C34">
        <v>140</v>
      </c>
      <c r="E34" t="s">
        <v>9</v>
      </c>
      <c r="F34" t="s">
        <v>167</v>
      </c>
      <c r="G34">
        <v>2</v>
      </c>
      <c r="H34">
        <v>4</v>
      </c>
      <c r="I34">
        <v>0</v>
      </c>
      <c r="J34">
        <v>2</v>
      </c>
      <c r="K34" t="s">
        <v>59</v>
      </c>
      <c r="L34" s="18">
        <v>0.3125</v>
      </c>
      <c r="M34" t="s">
        <v>59</v>
      </c>
      <c r="N34" s="18">
        <v>0.39583333333333331</v>
      </c>
      <c r="O34" t="s">
        <v>11</v>
      </c>
      <c r="P34" t="s">
        <v>14</v>
      </c>
      <c r="Q34" t="s">
        <v>13</v>
      </c>
      <c r="T34" s="18">
        <v>0</v>
      </c>
      <c r="W34" s="19">
        <v>0</v>
      </c>
      <c r="Y34">
        <v>0</v>
      </c>
      <c r="Z34">
        <v>0</v>
      </c>
      <c r="AA34">
        <v>1</v>
      </c>
      <c r="AB34" t="s">
        <v>20</v>
      </c>
      <c r="AC34">
        <v>18</v>
      </c>
    </row>
    <row r="35" spans="1:29" x14ac:dyDescent="0.25">
      <c r="A35">
        <v>128537273</v>
      </c>
      <c r="B35">
        <v>2030342743</v>
      </c>
      <c r="C35">
        <v>160</v>
      </c>
      <c r="E35" t="s">
        <v>9</v>
      </c>
      <c r="F35" t="s">
        <v>168</v>
      </c>
      <c r="G35">
        <v>2</v>
      </c>
      <c r="H35">
        <v>16</v>
      </c>
      <c r="I35">
        <v>0</v>
      </c>
      <c r="J35">
        <v>8</v>
      </c>
      <c r="K35" t="s">
        <v>59</v>
      </c>
      <c r="L35" s="18">
        <v>0.3125</v>
      </c>
      <c r="M35" t="s">
        <v>59</v>
      </c>
      <c r="N35" s="18">
        <v>0.6875</v>
      </c>
      <c r="O35" t="s">
        <v>11</v>
      </c>
      <c r="P35" t="s">
        <v>14</v>
      </c>
      <c r="Q35" t="s">
        <v>13</v>
      </c>
      <c r="T35" s="18">
        <v>0</v>
      </c>
      <c r="W35" s="18">
        <v>0</v>
      </c>
      <c r="Y35">
        <v>0</v>
      </c>
      <c r="Z35">
        <v>0</v>
      </c>
      <c r="AA35">
        <v>1</v>
      </c>
      <c r="AB35" t="s">
        <v>20</v>
      </c>
      <c r="AC35">
        <v>18</v>
      </c>
    </row>
    <row r="36" spans="1:29" x14ac:dyDescent="0.25">
      <c r="A36">
        <v>128537280</v>
      </c>
      <c r="B36">
        <v>2030342743</v>
      </c>
      <c r="C36">
        <v>200</v>
      </c>
      <c r="E36" t="s">
        <v>9</v>
      </c>
      <c r="F36" t="s">
        <v>169</v>
      </c>
      <c r="G36">
        <v>2</v>
      </c>
      <c r="H36">
        <v>4</v>
      </c>
      <c r="I36">
        <v>0</v>
      </c>
      <c r="J36">
        <v>2</v>
      </c>
      <c r="K36" t="s">
        <v>59</v>
      </c>
      <c r="L36" s="18">
        <v>0.3125</v>
      </c>
      <c r="M36" t="s">
        <v>59</v>
      </c>
      <c r="N36" s="18">
        <v>0.39583333333333331</v>
      </c>
      <c r="O36" t="s">
        <v>11</v>
      </c>
      <c r="P36" t="s">
        <v>14</v>
      </c>
      <c r="Q36" t="s">
        <v>13</v>
      </c>
      <c r="T36" s="18">
        <v>0</v>
      </c>
      <c r="W36" s="18">
        <v>0</v>
      </c>
      <c r="Y36">
        <v>0</v>
      </c>
      <c r="Z36">
        <v>0</v>
      </c>
      <c r="AA36">
        <v>1</v>
      </c>
      <c r="AB36" t="s">
        <v>20</v>
      </c>
      <c r="AC36">
        <v>18</v>
      </c>
    </row>
    <row r="37" spans="1:29" x14ac:dyDescent="0.25">
      <c r="A37">
        <v>130927492</v>
      </c>
      <c r="B37">
        <v>2030910115</v>
      </c>
      <c r="C37">
        <v>170</v>
      </c>
      <c r="E37" t="s">
        <v>9</v>
      </c>
      <c r="F37" t="s">
        <v>173</v>
      </c>
      <c r="G37">
        <v>2</v>
      </c>
      <c r="H37">
        <v>4</v>
      </c>
      <c r="I37">
        <v>0</v>
      </c>
      <c r="J37">
        <v>2</v>
      </c>
      <c r="K37" t="s">
        <v>60</v>
      </c>
      <c r="L37" s="18">
        <v>0</v>
      </c>
      <c r="M37" t="s">
        <v>60</v>
      </c>
      <c r="N37" s="18">
        <v>8.3333333333333329E-2</v>
      </c>
      <c r="O37" t="s">
        <v>40</v>
      </c>
      <c r="P37" t="s">
        <v>14</v>
      </c>
      <c r="Q37" t="s">
        <v>13</v>
      </c>
      <c r="T37" s="18">
        <v>0</v>
      </c>
      <c r="W37" s="18">
        <v>0</v>
      </c>
      <c r="Y37">
        <v>0</v>
      </c>
      <c r="Z37">
        <v>0</v>
      </c>
      <c r="AA37">
        <v>1</v>
      </c>
      <c r="AB37" t="s">
        <v>20</v>
      </c>
      <c r="AC37">
        <v>18</v>
      </c>
    </row>
    <row r="38" spans="1:29" x14ac:dyDescent="0.25">
      <c r="A38">
        <v>130927493</v>
      </c>
      <c r="B38">
        <v>2030910115</v>
      </c>
      <c r="C38">
        <v>180</v>
      </c>
      <c r="E38" t="s">
        <v>9</v>
      </c>
      <c r="F38" t="s">
        <v>174</v>
      </c>
      <c r="G38">
        <v>2</v>
      </c>
      <c r="H38">
        <v>8</v>
      </c>
      <c r="I38">
        <v>0</v>
      </c>
      <c r="J38">
        <v>4</v>
      </c>
      <c r="K38" t="s">
        <v>60</v>
      </c>
      <c r="L38" s="18">
        <v>0</v>
      </c>
      <c r="M38" t="s">
        <v>60</v>
      </c>
      <c r="N38" s="18">
        <v>0.16666666666666666</v>
      </c>
      <c r="O38" t="s">
        <v>40</v>
      </c>
      <c r="P38" t="s">
        <v>14</v>
      </c>
      <c r="Q38" t="s">
        <v>13</v>
      </c>
      <c r="T38" s="18">
        <v>0</v>
      </c>
      <c r="W38" s="18">
        <v>0</v>
      </c>
      <c r="Y38">
        <v>0</v>
      </c>
      <c r="Z38">
        <v>0</v>
      </c>
      <c r="AA38">
        <v>1</v>
      </c>
      <c r="AB38" t="s">
        <v>20</v>
      </c>
      <c r="AC38">
        <v>18</v>
      </c>
    </row>
    <row r="39" spans="1:29" x14ac:dyDescent="0.25">
      <c r="A39">
        <v>132200757</v>
      </c>
      <c r="B39">
        <v>2031119357</v>
      </c>
      <c r="C39">
        <v>290</v>
      </c>
      <c r="E39" t="s">
        <v>9</v>
      </c>
      <c r="F39" t="s">
        <v>176</v>
      </c>
      <c r="G39">
        <v>2</v>
      </c>
      <c r="H39">
        <v>6</v>
      </c>
      <c r="I39">
        <v>0</v>
      </c>
      <c r="J39">
        <v>3</v>
      </c>
      <c r="K39" t="s">
        <v>59</v>
      </c>
      <c r="L39" s="18">
        <v>0.375</v>
      </c>
      <c r="M39" t="s">
        <v>59</v>
      </c>
      <c r="N39" s="18">
        <v>0.5</v>
      </c>
      <c r="O39" t="s">
        <v>11</v>
      </c>
      <c r="P39" t="s">
        <v>14</v>
      </c>
      <c r="Q39" t="s">
        <v>13</v>
      </c>
      <c r="T39" s="18">
        <v>0</v>
      </c>
      <c r="W39" s="18">
        <v>0</v>
      </c>
      <c r="Y39">
        <v>0</v>
      </c>
      <c r="Z39">
        <v>0</v>
      </c>
      <c r="AA39">
        <v>2</v>
      </c>
      <c r="AB39" t="s">
        <v>20</v>
      </c>
      <c r="AC39">
        <v>18</v>
      </c>
    </row>
    <row r="40" spans="1:29" x14ac:dyDescent="0.25">
      <c r="A40">
        <v>132200771</v>
      </c>
      <c r="B40">
        <v>2031119357</v>
      </c>
      <c r="C40">
        <v>340</v>
      </c>
      <c r="E40" t="s">
        <v>9</v>
      </c>
      <c r="F40" t="s">
        <v>177</v>
      </c>
      <c r="G40">
        <v>2</v>
      </c>
      <c r="H40">
        <v>8</v>
      </c>
      <c r="I40">
        <v>0</v>
      </c>
      <c r="J40">
        <v>4</v>
      </c>
      <c r="K40" t="s">
        <v>59</v>
      </c>
      <c r="L40" s="18">
        <v>0.95833333333333337</v>
      </c>
      <c r="M40" t="s">
        <v>62</v>
      </c>
      <c r="N40" s="18">
        <v>0.125</v>
      </c>
      <c r="O40" t="s">
        <v>11</v>
      </c>
      <c r="P40" t="s">
        <v>14</v>
      </c>
      <c r="Q40" t="s">
        <v>13</v>
      </c>
      <c r="T40" s="18">
        <v>0</v>
      </c>
      <c r="W40" s="18">
        <v>0</v>
      </c>
      <c r="Y40">
        <v>0</v>
      </c>
      <c r="Z40">
        <v>0</v>
      </c>
      <c r="AA40">
        <v>2</v>
      </c>
      <c r="AB40" t="s">
        <v>20</v>
      </c>
      <c r="AC40">
        <v>18</v>
      </c>
    </row>
    <row r="41" spans="1:29" x14ac:dyDescent="0.25">
      <c r="A41">
        <v>133503870</v>
      </c>
      <c r="B41">
        <v>2031265724</v>
      </c>
      <c r="C41">
        <v>100</v>
      </c>
      <c r="E41" t="s">
        <v>9</v>
      </c>
      <c r="F41" t="s">
        <v>181</v>
      </c>
      <c r="G41">
        <v>1</v>
      </c>
      <c r="H41">
        <v>0.2</v>
      </c>
      <c r="I41">
        <v>0</v>
      </c>
      <c r="J41">
        <v>0.2</v>
      </c>
      <c r="K41" t="s">
        <v>59</v>
      </c>
      <c r="L41" s="18">
        <v>0.3125</v>
      </c>
      <c r="M41" t="s">
        <v>59</v>
      </c>
      <c r="N41" s="18">
        <v>0.31916666666666665</v>
      </c>
      <c r="O41" t="s">
        <v>40</v>
      </c>
      <c r="P41" t="s">
        <v>14</v>
      </c>
      <c r="Q41" t="s">
        <v>13</v>
      </c>
      <c r="T41" s="18">
        <v>0</v>
      </c>
      <c r="W41" s="19">
        <v>0</v>
      </c>
      <c r="Y41">
        <v>0</v>
      </c>
      <c r="Z41">
        <v>0</v>
      </c>
      <c r="AA41">
        <v>1</v>
      </c>
      <c r="AB41" t="s">
        <v>20</v>
      </c>
      <c r="AC41">
        <v>14</v>
      </c>
    </row>
    <row r="42" spans="1:29" x14ac:dyDescent="0.25">
      <c r="A42">
        <v>133865643</v>
      </c>
      <c r="B42">
        <v>2031324296</v>
      </c>
      <c r="C42">
        <v>180</v>
      </c>
      <c r="E42" t="s">
        <v>9</v>
      </c>
      <c r="F42" t="s">
        <v>185</v>
      </c>
      <c r="G42">
        <v>2</v>
      </c>
      <c r="H42">
        <v>8</v>
      </c>
      <c r="I42">
        <v>0</v>
      </c>
      <c r="J42">
        <v>4</v>
      </c>
      <c r="K42" t="s">
        <v>62</v>
      </c>
      <c r="L42" s="18">
        <v>0</v>
      </c>
      <c r="M42" t="s">
        <v>62</v>
      </c>
      <c r="N42" s="18">
        <v>0.16666666666666666</v>
      </c>
      <c r="O42" t="s">
        <v>40</v>
      </c>
      <c r="P42" t="s">
        <v>14</v>
      </c>
      <c r="Q42" t="s">
        <v>13</v>
      </c>
      <c r="T42" s="18">
        <v>0</v>
      </c>
      <c r="W42" s="18">
        <v>0</v>
      </c>
      <c r="Y42">
        <v>0</v>
      </c>
      <c r="Z42">
        <v>0</v>
      </c>
      <c r="AA42">
        <v>1</v>
      </c>
      <c r="AB42" t="s">
        <v>20</v>
      </c>
      <c r="AC42">
        <v>18</v>
      </c>
    </row>
    <row r="43" spans="1:29" x14ac:dyDescent="0.25">
      <c r="A43">
        <v>134487340</v>
      </c>
      <c r="B43">
        <v>2031499288</v>
      </c>
      <c r="C43">
        <v>60</v>
      </c>
      <c r="E43" t="s">
        <v>9</v>
      </c>
      <c r="F43" t="s">
        <v>188</v>
      </c>
      <c r="G43">
        <v>2</v>
      </c>
      <c r="H43">
        <v>2</v>
      </c>
      <c r="I43">
        <v>0</v>
      </c>
      <c r="J43">
        <v>1</v>
      </c>
      <c r="K43" t="s">
        <v>59</v>
      </c>
      <c r="L43" s="18">
        <v>0.16666666666666666</v>
      </c>
      <c r="M43" t="s">
        <v>59</v>
      </c>
      <c r="N43" s="18">
        <v>0.20833333333333334</v>
      </c>
      <c r="O43" t="s">
        <v>11</v>
      </c>
      <c r="P43" t="s">
        <v>14</v>
      </c>
      <c r="Q43" t="s">
        <v>13</v>
      </c>
      <c r="T43" s="18">
        <v>0</v>
      </c>
      <c r="W43" s="19">
        <v>0</v>
      </c>
      <c r="Y43">
        <v>0</v>
      </c>
      <c r="Z43">
        <v>0</v>
      </c>
      <c r="AA43">
        <v>1</v>
      </c>
      <c r="AB43" t="s">
        <v>20</v>
      </c>
      <c r="AC43">
        <v>18</v>
      </c>
    </row>
    <row r="44" spans="1:29" x14ac:dyDescent="0.25">
      <c r="A44">
        <v>134487341</v>
      </c>
      <c r="B44">
        <v>2031499288</v>
      </c>
      <c r="C44">
        <v>70</v>
      </c>
      <c r="E44" t="s">
        <v>9</v>
      </c>
      <c r="F44" t="s">
        <v>53</v>
      </c>
      <c r="G44">
        <v>1</v>
      </c>
      <c r="H44">
        <v>0.2</v>
      </c>
      <c r="I44">
        <v>0</v>
      </c>
      <c r="J44">
        <v>0.2</v>
      </c>
      <c r="K44" t="s">
        <v>59</v>
      </c>
      <c r="L44" s="18">
        <v>0.20833333333333334</v>
      </c>
      <c r="M44" t="s">
        <v>59</v>
      </c>
      <c r="N44" s="18">
        <v>0.21666666666666667</v>
      </c>
      <c r="O44" t="s">
        <v>11</v>
      </c>
      <c r="P44" t="s">
        <v>14</v>
      </c>
      <c r="Q44" t="s">
        <v>13</v>
      </c>
      <c r="T44" s="18">
        <v>0</v>
      </c>
      <c r="W44" s="18">
        <v>0</v>
      </c>
      <c r="Y44">
        <v>0</v>
      </c>
      <c r="Z44">
        <v>0</v>
      </c>
      <c r="AA44">
        <v>1</v>
      </c>
      <c r="AB44" t="s">
        <v>20</v>
      </c>
      <c r="AC44">
        <v>18</v>
      </c>
    </row>
    <row r="45" spans="1:29" x14ac:dyDescent="0.25">
      <c r="A45">
        <v>134735827</v>
      </c>
      <c r="B45">
        <v>2031541762</v>
      </c>
      <c r="C45">
        <v>10</v>
      </c>
      <c r="E45" t="s">
        <v>9</v>
      </c>
      <c r="F45" t="s">
        <v>192</v>
      </c>
      <c r="G45">
        <v>2</v>
      </c>
      <c r="H45">
        <v>2</v>
      </c>
      <c r="I45">
        <v>0</v>
      </c>
      <c r="J45">
        <v>1</v>
      </c>
      <c r="K45" t="s">
        <v>59</v>
      </c>
      <c r="L45" s="18">
        <v>0.3125</v>
      </c>
      <c r="M45" t="s">
        <v>59</v>
      </c>
      <c r="N45" s="18">
        <v>0.35416666666666669</v>
      </c>
      <c r="O45" t="s">
        <v>11</v>
      </c>
      <c r="P45" t="s">
        <v>14</v>
      </c>
      <c r="Q45" t="s">
        <v>13</v>
      </c>
      <c r="T45" s="18">
        <v>0</v>
      </c>
      <c r="W45" s="18">
        <v>0</v>
      </c>
      <c r="Y45">
        <v>0</v>
      </c>
      <c r="Z45">
        <v>0</v>
      </c>
      <c r="AA45">
        <v>1</v>
      </c>
      <c r="AB45" t="s">
        <v>20</v>
      </c>
      <c r="AC45">
        <v>18</v>
      </c>
    </row>
    <row r="46" spans="1:29" x14ac:dyDescent="0.25">
      <c r="A46">
        <v>134986000</v>
      </c>
      <c r="B46">
        <v>2031541762</v>
      </c>
      <c r="C46">
        <v>20</v>
      </c>
      <c r="E46" t="s">
        <v>9</v>
      </c>
      <c r="F46" t="s">
        <v>193</v>
      </c>
      <c r="G46">
        <v>2</v>
      </c>
      <c r="H46">
        <v>4</v>
      </c>
      <c r="I46">
        <v>0</v>
      </c>
      <c r="J46">
        <v>2</v>
      </c>
      <c r="K46" t="s">
        <v>59</v>
      </c>
      <c r="L46" s="18">
        <v>0.35416666666666669</v>
      </c>
      <c r="M46" t="s">
        <v>59</v>
      </c>
      <c r="N46" s="18">
        <v>0.4375</v>
      </c>
      <c r="O46" t="s">
        <v>11</v>
      </c>
      <c r="P46" t="s">
        <v>14</v>
      </c>
      <c r="Q46" t="s">
        <v>13</v>
      </c>
      <c r="T46" s="18">
        <v>0</v>
      </c>
      <c r="W46" s="18">
        <v>0</v>
      </c>
      <c r="Y46">
        <v>0</v>
      </c>
      <c r="Z46">
        <v>0</v>
      </c>
      <c r="AA46">
        <v>1</v>
      </c>
      <c r="AB46" t="s">
        <v>20</v>
      </c>
      <c r="AC46">
        <v>18</v>
      </c>
    </row>
    <row r="47" spans="1:29" x14ac:dyDescent="0.25">
      <c r="A47">
        <v>134986004</v>
      </c>
      <c r="B47">
        <v>2031541762</v>
      </c>
      <c r="C47">
        <v>60</v>
      </c>
      <c r="E47" t="s">
        <v>9</v>
      </c>
      <c r="F47" t="s">
        <v>194</v>
      </c>
      <c r="G47">
        <v>2</v>
      </c>
      <c r="H47">
        <v>4</v>
      </c>
      <c r="I47">
        <v>0</v>
      </c>
      <c r="J47">
        <v>2</v>
      </c>
      <c r="K47" t="s">
        <v>59</v>
      </c>
      <c r="L47" s="18">
        <v>0.60416666666666663</v>
      </c>
      <c r="M47" t="s">
        <v>59</v>
      </c>
      <c r="N47" s="18">
        <v>0.6875</v>
      </c>
      <c r="O47" t="s">
        <v>11</v>
      </c>
      <c r="P47" t="s">
        <v>14</v>
      </c>
      <c r="Q47" t="s">
        <v>13</v>
      </c>
      <c r="T47" s="18">
        <v>0</v>
      </c>
      <c r="W47" s="18">
        <v>0</v>
      </c>
      <c r="Y47">
        <v>0</v>
      </c>
      <c r="Z47">
        <v>0</v>
      </c>
      <c r="AA47">
        <v>1</v>
      </c>
      <c r="AB47" t="s">
        <v>20</v>
      </c>
      <c r="AC47">
        <v>18</v>
      </c>
    </row>
    <row r="48" spans="1:29" x14ac:dyDescent="0.25">
      <c r="A48">
        <v>134986005</v>
      </c>
      <c r="B48">
        <v>2031541762</v>
      </c>
      <c r="C48">
        <v>80</v>
      </c>
      <c r="E48" t="s">
        <v>9</v>
      </c>
      <c r="F48" t="s">
        <v>195</v>
      </c>
      <c r="G48">
        <v>1</v>
      </c>
      <c r="H48">
        <v>0.2</v>
      </c>
      <c r="I48">
        <v>0</v>
      </c>
      <c r="J48">
        <v>0.2</v>
      </c>
      <c r="K48" t="s">
        <v>59</v>
      </c>
      <c r="L48" s="18">
        <v>0.6875</v>
      </c>
      <c r="M48" t="s">
        <v>59</v>
      </c>
      <c r="N48" s="18">
        <v>0.6958333333333333</v>
      </c>
      <c r="O48" t="s">
        <v>11</v>
      </c>
      <c r="P48" t="s">
        <v>14</v>
      </c>
      <c r="Q48" t="s">
        <v>13</v>
      </c>
      <c r="T48" s="18">
        <v>0</v>
      </c>
      <c r="W48" s="18">
        <v>0</v>
      </c>
      <c r="Y48">
        <v>0</v>
      </c>
      <c r="Z48">
        <v>0</v>
      </c>
      <c r="AA48">
        <v>1</v>
      </c>
      <c r="AB48" t="s">
        <v>20</v>
      </c>
      <c r="AC48">
        <v>18</v>
      </c>
    </row>
    <row r="49" spans="1:29" x14ac:dyDescent="0.25">
      <c r="A49">
        <v>134735847</v>
      </c>
      <c r="B49">
        <v>2031541764</v>
      </c>
      <c r="C49">
        <v>10</v>
      </c>
      <c r="E49" t="s">
        <v>9</v>
      </c>
      <c r="F49" t="s">
        <v>196</v>
      </c>
      <c r="G49">
        <v>2</v>
      </c>
      <c r="H49">
        <v>2</v>
      </c>
      <c r="I49">
        <v>0</v>
      </c>
      <c r="J49">
        <v>1</v>
      </c>
      <c r="K49" t="s">
        <v>59</v>
      </c>
      <c r="L49" s="18">
        <v>0.3125</v>
      </c>
      <c r="M49" t="s">
        <v>59</v>
      </c>
      <c r="N49" s="18">
        <v>0.35416666666666669</v>
      </c>
      <c r="O49" t="s">
        <v>11</v>
      </c>
      <c r="P49" t="s">
        <v>14</v>
      </c>
      <c r="Q49" t="s">
        <v>13</v>
      </c>
      <c r="T49" s="18">
        <v>0</v>
      </c>
      <c r="W49" s="18">
        <v>0</v>
      </c>
      <c r="Y49">
        <v>0</v>
      </c>
      <c r="Z49">
        <v>0</v>
      </c>
      <c r="AB49" t="s">
        <v>20</v>
      </c>
      <c r="AC49">
        <v>18</v>
      </c>
    </row>
    <row r="50" spans="1:29" x14ac:dyDescent="0.25">
      <c r="A50">
        <v>134985982</v>
      </c>
      <c r="B50">
        <v>2031541764</v>
      </c>
      <c r="C50">
        <v>20</v>
      </c>
      <c r="E50" t="s">
        <v>9</v>
      </c>
      <c r="F50" t="s">
        <v>197</v>
      </c>
      <c r="G50">
        <v>2</v>
      </c>
      <c r="H50">
        <v>4</v>
      </c>
      <c r="I50">
        <v>0</v>
      </c>
      <c r="J50">
        <v>2</v>
      </c>
      <c r="K50" t="s">
        <v>59</v>
      </c>
      <c r="L50" s="18">
        <v>0.35416666666666669</v>
      </c>
      <c r="M50" t="s">
        <v>59</v>
      </c>
      <c r="N50" s="18">
        <v>0.4375</v>
      </c>
      <c r="O50" t="s">
        <v>11</v>
      </c>
      <c r="P50" t="s">
        <v>14</v>
      </c>
      <c r="Q50" t="s">
        <v>13</v>
      </c>
      <c r="T50" s="18">
        <v>0</v>
      </c>
      <c r="W50" s="18">
        <v>0</v>
      </c>
      <c r="Y50">
        <v>0</v>
      </c>
      <c r="Z50">
        <v>0</v>
      </c>
      <c r="AB50" t="s">
        <v>20</v>
      </c>
      <c r="AC50">
        <v>18</v>
      </c>
    </row>
    <row r="51" spans="1:29" x14ac:dyDescent="0.25">
      <c r="A51">
        <v>134985987</v>
      </c>
      <c r="B51">
        <v>2031541764</v>
      </c>
      <c r="C51">
        <v>60</v>
      </c>
      <c r="E51" t="s">
        <v>9</v>
      </c>
      <c r="F51" t="s">
        <v>198</v>
      </c>
      <c r="G51">
        <v>2</v>
      </c>
      <c r="H51">
        <v>4</v>
      </c>
      <c r="I51">
        <v>0</v>
      </c>
      <c r="J51">
        <v>2</v>
      </c>
      <c r="K51" t="s">
        <v>62</v>
      </c>
      <c r="L51" s="18">
        <v>0.39583333333333331</v>
      </c>
      <c r="M51" t="s">
        <v>62</v>
      </c>
      <c r="N51" s="18">
        <v>0.47916666666666669</v>
      </c>
      <c r="O51" t="s">
        <v>11</v>
      </c>
      <c r="P51" t="s">
        <v>14</v>
      </c>
      <c r="Q51" t="s">
        <v>13</v>
      </c>
      <c r="T51" s="18">
        <v>0</v>
      </c>
      <c r="W51" s="18">
        <v>0</v>
      </c>
      <c r="Y51">
        <v>0</v>
      </c>
      <c r="Z51">
        <v>0</v>
      </c>
      <c r="AB51" t="s">
        <v>20</v>
      </c>
      <c r="AC51">
        <v>18</v>
      </c>
    </row>
    <row r="52" spans="1:29" x14ac:dyDescent="0.25">
      <c r="A52">
        <v>134985989</v>
      </c>
      <c r="B52">
        <v>2031541764</v>
      </c>
      <c r="C52">
        <v>80</v>
      </c>
      <c r="E52" t="s">
        <v>9</v>
      </c>
      <c r="F52" t="s">
        <v>199</v>
      </c>
      <c r="G52">
        <v>1</v>
      </c>
      <c r="H52">
        <v>0.2</v>
      </c>
      <c r="I52">
        <v>0</v>
      </c>
      <c r="J52">
        <v>0.2</v>
      </c>
      <c r="K52" t="s">
        <v>62</v>
      </c>
      <c r="L52" s="18">
        <v>0.58333333333333337</v>
      </c>
      <c r="M52" t="s">
        <v>62</v>
      </c>
      <c r="N52" s="18">
        <v>0.59166666666666667</v>
      </c>
      <c r="O52" t="s">
        <v>11</v>
      </c>
      <c r="P52" t="s">
        <v>14</v>
      </c>
      <c r="Q52" t="s">
        <v>13</v>
      </c>
      <c r="T52" s="18">
        <v>0</v>
      </c>
      <c r="W52" s="18">
        <v>0</v>
      </c>
      <c r="Y52">
        <v>0</v>
      </c>
      <c r="Z52">
        <v>0</v>
      </c>
      <c r="AB52" t="s">
        <v>20</v>
      </c>
      <c r="AC52">
        <v>18</v>
      </c>
    </row>
    <row r="53" spans="1:29" x14ac:dyDescent="0.25">
      <c r="A53">
        <v>135014369</v>
      </c>
      <c r="B53">
        <v>2031585552</v>
      </c>
      <c r="C53">
        <v>10</v>
      </c>
      <c r="E53" t="s">
        <v>9</v>
      </c>
      <c r="F53" t="s">
        <v>211</v>
      </c>
      <c r="G53">
        <v>2</v>
      </c>
      <c r="H53">
        <v>6</v>
      </c>
      <c r="I53">
        <v>0</v>
      </c>
      <c r="J53">
        <v>3</v>
      </c>
      <c r="K53" t="s">
        <v>59</v>
      </c>
      <c r="L53" s="18">
        <v>0.25</v>
      </c>
      <c r="M53" t="s">
        <v>59</v>
      </c>
      <c r="N53" s="18">
        <v>0.375</v>
      </c>
      <c r="O53" t="s">
        <v>11</v>
      </c>
      <c r="P53" t="s">
        <v>14</v>
      </c>
      <c r="Q53" t="s">
        <v>13</v>
      </c>
      <c r="T53" s="18">
        <v>0</v>
      </c>
      <c r="W53" s="18">
        <v>0</v>
      </c>
      <c r="Y53">
        <v>0</v>
      </c>
      <c r="Z53">
        <v>0</v>
      </c>
      <c r="AA53">
        <v>2</v>
      </c>
      <c r="AB53" t="s">
        <v>20</v>
      </c>
      <c r="AC53">
        <v>18</v>
      </c>
    </row>
    <row r="54" spans="1:29" x14ac:dyDescent="0.25">
      <c r="A54">
        <v>135014374</v>
      </c>
      <c r="B54">
        <v>2031585552</v>
      </c>
      <c r="C54">
        <v>40</v>
      </c>
      <c r="E54" t="s">
        <v>9</v>
      </c>
      <c r="F54" t="s">
        <v>212</v>
      </c>
      <c r="G54">
        <v>2</v>
      </c>
      <c r="H54">
        <v>6</v>
      </c>
      <c r="I54">
        <v>0</v>
      </c>
      <c r="J54">
        <v>3</v>
      </c>
      <c r="K54" t="s">
        <v>59</v>
      </c>
      <c r="L54" s="18">
        <v>0.21666666666666667</v>
      </c>
      <c r="M54" t="s">
        <v>59</v>
      </c>
      <c r="N54" s="18">
        <v>0.34166666666666667</v>
      </c>
      <c r="O54" t="s">
        <v>11</v>
      </c>
      <c r="P54" t="s">
        <v>14</v>
      </c>
      <c r="Q54" t="s">
        <v>13</v>
      </c>
      <c r="T54" s="18">
        <v>0</v>
      </c>
      <c r="W54" s="18">
        <v>0</v>
      </c>
      <c r="Y54">
        <v>0</v>
      </c>
      <c r="Z54">
        <v>0</v>
      </c>
      <c r="AA54">
        <v>2</v>
      </c>
      <c r="AB54" t="s">
        <v>20</v>
      </c>
      <c r="AC54">
        <v>18</v>
      </c>
    </row>
    <row r="55" spans="1:29" x14ac:dyDescent="0.25">
      <c r="A55">
        <v>135014375</v>
      </c>
      <c r="B55">
        <v>2031585552</v>
      </c>
      <c r="C55">
        <v>45</v>
      </c>
      <c r="E55" t="s">
        <v>9</v>
      </c>
      <c r="F55" t="s">
        <v>213</v>
      </c>
      <c r="G55">
        <v>1</v>
      </c>
      <c r="H55">
        <v>0.1</v>
      </c>
      <c r="I55">
        <v>0</v>
      </c>
      <c r="J55">
        <v>0.1</v>
      </c>
      <c r="K55" t="s">
        <v>59</v>
      </c>
      <c r="L55" s="18">
        <v>0.20833333333333334</v>
      </c>
      <c r="M55" t="s">
        <v>59</v>
      </c>
      <c r="N55" s="18">
        <v>0.21249999999999999</v>
      </c>
      <c r="O55" t="s">
        <v>11</v>
      </c>
      <c r="P55" t="s">
        <v>14</v>
      </c>
      <c r="Q55" t="s">
        <v>76</v>
      </c>
      <c r="T55" s="18">
        <v>0</v>
      </c>
      <c r="W55" s="18">
        <v>0</v>
      </c>
      <c r="Y55">
        <v>0</v>
      </c>
      <c r="Z55">
        <v>0</v>
      </c>
      <c r="AA55">
        <v>2</v>
      </c>
      <c r="AB55" t="s">
        <v>20</v>
      </c>
      <c r="AC55">
        <v>18</v>
      </c>
    </row>
    <row r="56" spans="1:29" x14ac:dyDescent="0.25">
      <c r="A56">
        <v>135014389</v>
      </c>
      <c r="B56">
        <v>2031585552</v>
      </c>
      <c r="C56">
        <v>140</v>
      </c>
      <c r="E56" t="s">
        <v>9</v>
      </c>
      <c r="F56" t="s">
        <v>214</v>
      </c>
      <c r="G56">
        <v>1</v>
      </c>
      <c r="H56">
        <v>0.2</v>
      </c>
      <c r="I56">
        <v>0</v>
      </c>
      <c r="J56">
        <v>0.2</v>
      </c>
      <c r="K56" t="s">
        <v>59</v>
      </c>
      <c r="L56" s="18">
        <v>0.25</v>
      </c>
      <c r="M56" t="s">
        <v>59</v>
      </c>
      <c r="N56" s="18">
        <v>0.25833333333333336</v>
      </c>
      <c r="O56" t="s">
        <v>11</v>
      </c>
      <c r="P56" t="s">
        <v>14</v>
      </c>
      <c r="Q56" t="s">
        <v>13</v>
      </c>
      <c r="T56" s="18">
        <v>0</v>
      </c>
      <c r="W56" s="18">
        <v>0</v>
      </c>
      <c r="Y56">
        <v>0</v>
      </c>
      <c r="Z56">
        <v>0</v>
      </c>
      <c r="AA56">
        <v>2</v>
      </c>
      <c r="AB56" t="s">
        <v>20</v>
      </c>
      <c r="AC56">
        <v>18</v>
      </c>
    </row>
    <row r="57" spans="1:29" x14ac:dyDescent="0.25">
      <c r="A57">
        <v>135014393</v>
      </c>
      <c r="B57">
        <v>2031585553</v>
      </c>
      <c r="C57">
        <v>10</v>
      </c>
      <c r="E57" t="s">
        <v>9</v>
      </c>
      <c r="F57" t="s">
        <v>215</v>
      </c>
      <c r="G57">
        <v>2</v>
      </c>
      <c r="H57">
        <v>6</v>
      </c>
      <c r="I57">
        <v>0</v>
      </c>
      <c r="J57">
        <v>3</v>
      </c>
      <c r="K57" t="s">
        <v>59</v>
      </c>
      <c r="L57" s="18">
        <v>0.3125</v>
      </c>
      <c r="M57" t="s">
        <v>59</v>
      </c>
      <c r="N57" s="18">
        <v>0.4375</v>
      </c>
      <c r="O57" t="s">
        <v>11</v>
      </c>
      <c r="P57" t="s">
        <v>14</v>
      </c>
      <c r="Q57" t="s">
        <v>13</v>
      </c>
      <c r="T57" s="18">
        <v>0</v>
      </c>
      <c r="W57" s="18">
        <v>0</v>
      </c>
      <c r="Y57">
        <v>0</v>
      </c>
      <c r="Z57">
        <v>0</v>
      </c>
      <c r="AA57">
        <v>2</v>
      </c>
      <c r="AB57" t="s">
        <v>20</v>
      </c>
      <c r="AC57">
        <v>18</v>
      </c>
    </row>
    <row r="58" spans="1:29" x14ac:dyDescent="0.25">
      <c r="A58">
        <v>135014398</v>
      </c>
      <c r="B58">
        <v>2031585553</v>
      </c>
      <c r="C58">
        <v>40</v>
      </c>
      <c r="E58" t="s">
        <v>9</v>
      </c>
      <c r="F58" t="s">
        <v>216</v>
      </c>
      <c r="G58">
        <v>2</v>
      </c>
      <c r="H58">
        <v>6</v>
      </c>
      <c r="I58">
        <v>0</v>
      </c>
      <c r="J58">
        <v>3</v>
      </c>
      <c r="K58" t="s">
        <v>59</v>
      </c>
      <c r="L58" s="18">
        <v>0.3125</v>
      </c>
      <c r="M58" t="s">
        <v>59</v>
      </c>
      <c r="N58" s="18">
        <v>0.4375</v>
      </c>
      <c r="O58" t="s">
        <v>11</v>
      </c>
      <c r="P58" t="s">
        <v>14</v>
      </c>
      <c r="Q58" t="s">
        <v>13</v>
      </c>
      <c r="T58" s="18">
        <v>0</v>
      </c>
      <c r="W58" s="18">
        <v>0</v>
      </c>
      <c r="Y58">
        <v>0</v>
      </c>
      <c r="Z58">
        <v>0</v>
      </c>
      <c r="AA58">
        <v>2</v>
      </c>
      <c r="AB58" t="s">
        <v>20</v>
      </c>
      <c r="AC58">
        <v>18</v>
      </c>
    </row>
    <row r="59" spans="1:29" x14ac:dyDescent="0.25">
      <c r="A59">
        <v>135014399</v>
      </c>
      <c r="B59">
        <v>2031585553</v>
      </c>
      <c r="C59">
        <v>45</v>
      </c>
      <c r="E59" t="s">
        <v>9</v>
      </c>
      <c r="F59" t="s">
        <v>217</v>
      </c>
      <c r="G59">
        <v>1</v>
      </c>
      <c r="H59">
        <v>0.1</v>
      </c>
      <c r="I59">
        <v>0</v>
      </c>
      <c r="J59">
        <v>0.1</v>
      </c>
      <c r="K59" t="s">
        <v>59</v>
      </c>
      <c r="L59" s="18">
        <v>0.3125</v>
      </c>
      <c r="M59" t="s">
        <v>59</v>
      </c>
      <c r="N59" s="18">
        <v>0.31666666666666665</v>
      </c>
      <c r="O59" t="s">
        <v>11</v>
      </c>
      <c r="P59" t="s">
        <v>14</v>
      </c>
      <c r="Q59" t="s">
        <v>76</v>
      </c>
      <c r="T59" s="18">
        <v>0</v>
      </c>
      <c r="W59" s="18">
        <v>0</v>
      </c>
      <c r="Y59">
        <v>0</v>
      </c>
      <c r="Z59">
        <v>0</v>
      </c>
      <c r="AA59">
        <v>2</v>
      </c>
      <c r="AB59" t="s">
        <v>20</v>
      </c>
      <c r="AC59">
        <v>18</v>
      </c>
    </row>
    <row r="60" spans="1:29" x14ac:dyDescent="0.25">
      <c r="A60">
        <v>135014413</v>
      </c>
      <c r="B60">
        <v>2031585553</v>
      </c>
      <c r="C60">
        <v>140</v>
      </c>
      <c r="E60" t="s">
        <v>9</v>
      </c>
      <c r="F60" t="s">
        <v>218</v>
      </c>
      <c r="G60">
        <v>1</v>
      </c>
      <c r="H60">
        <v>0.2</v>
      </c>
      <c r="I60">
        <v>0</v>
      </c>
      <c r="J60">
        <v>0.2</v>
      </c>
      <c r="K60" t="s">
        <v>59</v>
      </c>
      <c r="L60" s="18">
        <v>0.39583333333333331</v>
      </c>
      <c r="M60" t="s">
        <v>59</v>
      </c>
      <c r="N60" s="18">
        <v>0.40416666666666667</v>
      </c>
      <c r="O60" t="s">
        <v>11</v>
      </c>
      <c r="P60" t="s">
        <v>14</v>
      </c>
      <c r="Q60" t="s">
        <v>13</v>
      </c>
      <c r="T60" s="18">
        <v>0</v>
      </c>
      <c r="W60" s="18">
        <v>0</v>
      </c>
      <c r="Y60">
        <v>0</v>
      </c>
      <c r="Z60">
        <v>0</v>
      </c>
      <c r="AA60">
        <v>2</v>
      </c>
      <c r="AB60" t="s">
        <v>20</v>
      </c>
      <c r="AC60">
        <v>18</v>
      </c>
    </row>
    <row r="61" spans="1:29" x14ac:dyDescent="0.25">
      <c r="A61">
        <v>135016749</v>
      </c>
      <c r="B61">
        <v>2031585554</v>
      </c>
      <c r="C61">
        <v>10</v>
      </c>
      <c r="E61" t="s">
        <v>9</v>
      </c>
      <c r="F61" t="s">
        <v>219</v>
      </c>
      <c r="G61">
        <v>2</v>
      </c>
      <c r="H61">
        <v>6</v>
      </c>
      <c r="I61">
        <v>0</v>
      </c>
      <c r="J61">
        <v>3</v>
      </c>
      <c r="K61" t="s">
        <v>59</v>
      </c>
      <c r="L61" s="18">
        <v>0.40416666666666667</v>
      </c>
      <c r="M61" t="s">
        <v>59</v>
      </c>
      <c r="N61" s="18">
        <v>0.5708333333333333</v>
      </c>
      <c r="O61" t="s">
        <v>11</v>
      </c>
      <c r="P61" t="s">
        <v>14</v>
      </c>
      <c r="Q61" t="s">
        <v>13</v>
      </c>
      <c r="T61" s="18">
        <v>0</v>
      </c>
      <c r="W61" s="18">
        <v>0</v>
      </c>
      <c r="Y61">
        <v>0</v>
      </c>
      <c r="Z61">
        <v>0</v>
      </c>
      <c r="AA61">
        <v>2</v>
      </c>
      <c r="AB61" t="s">
        <v>20</v>
      </c>
      <c r="AC61">
        <v>18</v>
      </c>
    </row>
    <row r="62" spans="1:29" x14ac:dyDescent="0.25">
      <c r="A62">
        <v>135016754</v>
      </c>
      <c r="B62">
        <v>2031585554</v>
      </c>
      <c r="C62">
        <v>40</v>
      </c>
      <c r="E62" t="s">
        <v>9</v>
      </c>
      <c r="F62" t="s">
        <v>220</v>
      </c>
      <c r="G62">
        <v>2</v>
      </c>
      <c r="H62">
        <v>6</v>
      </c>
      <c r="I62">
        <v>0</v>
      </c>
      <c r="J62">
        <v>3</v>
      </c>
      <c r="K62" t="s">
        <v>59</v>
      </c>
      <c r="L62" s="18">
        <v>0.3125</v>
      </c>
      <c r="M62" t="s">
        <v>59</v>
      </c>
      <c r="N62" s="18">
        <v>0.4375</v>
      </c>
      <c r="O62" t="s">
        <v>11</v>
      </c>
      <c r="P62" t="s">
        <v>14</v>
      </c>
      <c r="Q62" t="s">
        <v>13</v>
      </c>
      <c r="T62" s="18">
        <v>0</v>
      </c>
      <c r="W62" s="18">
        <v>0</v>
      </c>
      <c r="Y62">
        <v>0</v>
      </c>
      <c r="Z62">
        <v>0</v>
      </c>
      <c r="AA62">
        <v>2</v>
      </c>
      <c r="AB62" t="s">
        <v>20</v>
      </c>
      <c r="AC62">
        <v>18</v>
      </c>
    </row>
    <row r="63" spans="1:29" x14ac:dyDescent="0.25">
      <c r="A63">
        <v>135016755</v>
      </c>
      <c r="B63">
        <v>2031585554</v>
      </c>
      <c r="C63">
        <v>45</v>
      </c>
      <c r="E63" t="s">
        <v>9</v>
      </c>
      <c r="F63" t="s">
        <v>221</v>
      </c>
      <c r="G63">
        <v>1</v>
      </c>
      <c r="H63">
        <v>0.1</v>
      </c>
      <c r="I63">
        <v>0</v>
      </c>
      <c r="J63">
        <v>0.1</v>
      </c>
      <c r="K63" t="s">
        <v>59</v>
      </c>
      <c r="L63" s="18">
        <v>0.3125</v>
      </c>
      <c r="M63" t="s">
        <v>59</v>
      </c>
      <c r="N63" s="18">
        <v>0.31666666666666665</v>
      </c>
      <c r="O63" t="s">
        <v>11</v>
      </c>
      <c r="P63" t="s">
        <v>14</v>
      </c>
      <c r="Q63" t="s">
        <v>76</v>
      </c>
      <c r="T63" s="18">
        <v>0</v>
      </c>
      <c r="W63" s="18">
        <v>0</v>
      </c>
      <c r="Y63">
        <v>0</v>
      </c>
      <c r="Z63">
        <v>0</v>
      </c>
      <c r="AA63">
        <v>2</v>
      </c>
      <c r="AB63" t="s">
        <v>20</v>
      </c>
      <c r="AC63">
        <v>18</v>
      </c>
    </row>
    <row r="64" spans="1:29" x14ac:dyDescent="0.25">
      <c r="A64">
        <v>135016769</v>
      </c>
      <c r="B64">
        <v>2031585554</v>
      </c>
      <c r="C64">
        <v>140</v>
      </c>
      <c r="E64" t="s">
        <v>9</v>
      </c>
      <c r="F64" t="s">
        <v>222</v>
      </c>
      <c r="G64">
        <v>1</v>
      </c>
      <c r="H64">
        <v>0.2</v>
      </c>
      <c r="I64">
        <v>0</v>
      </c>
      <c r="J64">
        <v>0.2</v>
      </c>
      <c r="K64" t="s">
        <v>59</v>
      </c>
      <c r="L64" s="18">
        <v>0.39583333333333331</v>
      </c>
      <c r="M64" t="s">
        <v>59</v>
      </c>
      <c r="N64" s="18">
        <v>0.40416666666666667</v>
      </c>
      <c r="O64" t="s">
        <v>11</v>
      </c>
      <c r="P64" t="s">
        <v>14</v>
      </c>
      <c r="Q64" t="s">
        <v>13</v>
      </c>
      <c r="T64" s="18">
        <v>0</v>
      </c>
      <c r="W64" s="18">
        <v>0</v>
      </c>
      <c r="Y64">
        <v>0</v>
      </c>
      <c r="Z64">
        <v>0</v>
      </c>
      <c r="AA64">
        <v>2</v>
      </c>
      <c r="AB64" t="s">
        <v>20</v>
      </c>
      <c r="AC64">
        <v>18</v>
      </c>
    </row>
    <row r="65" spans="12:23" x14ac:dyDescent="0.25">
      <c r="L65" s="18"/>
      <c r="N65" s="18"/>
      <c r="T65" s="18"/>
      <c r="W65" s="18"/>
    </row>
    <row r="66" spans="12:23" x14ac:dyDescent="0.25">
      <c r="L66" s="18"/>
      <c r="N66" s="18"/>
      <c r="T66" s="18"/>
      <c r="W66" s="18"/>
    </row>
    <row r="67" spans="12:23" x14ac:dyDescent="0.25">
      <c r="L67" s="18"/>
      <c r="N67" s="18"/>
      <c r="T67" s="18"/>
      <c r="W67" s="18"/>
    </row>
    <row r="68" spans="12:23" x14ac:dyDescent="0.25">
      <c r="L68" s="18"/>
      <c r="N68" s="18"/>
      <c r="T68" s="18"/>
      <c r="W68" s="18"/>
    </row>
    <row r="69" spans="12:23" x14ac:dyDescent="0.25">
      <c r="L69" s="18"/>
      <c r="N69" s="18"/>
      <c r="T69" s="18"/>
      <c r="W69" s="18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1DC54-E5A0-44C1-ADA1-F9D9EC65A6EC}">
  <sheetPr codeName="Planilha4">
    <tabColor rgb="FF00B050"/>
  </sheetPr>
  <dimension ref="A1:AC53"/>
  <sheetViews>
    <sheetView workbookViewId="0">
      <selection activeCell="A3" sqref="A3:AC35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2.71093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5.85546875" bestFit="1" customWidth="1"/>
    <col min="16" max="16" width="14.42578125" bestFit="1" customWidth="1"/>
    <col min="17" max="17" width="5.5703125" bestFit="1" customWidth="1"/>
    <col min="20" max="20" width="8.140625" bestFit="1" customWidth="1"/>
    <col min="23" max="23" width="8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332</v>
      </c>
    </row>
    <row r="2" spans="1:29" s="30" customFormat="1" ht="15.75" thickBot="1" x14ac:dyDescent="0.3">
      <c r="A2" s="27" t="s">
        <v>28</v>
      </c>
      <c r="B2" s="28" t="s">
        <v>27</v>
      </c>
      <c r="C2" s="28" t="s">
        <v>26</v>
      </c>
      <c r="D2" s="28" t="s">
        <v>29</v>
      </c>
      <c r="E2" s="28" t="s">
        <v>30</v>
      </c>
      <c r="F2" s="28" t="s">
        <v>31</v>
      </c>
      <c r="G2" s="28" t="s">
        <v>32</v>
      </c>
      <c r="H2" s="28" t="s">
        <v>33</v>
      </c>
      <c r="I2" s="28" t="s">
        <v>34</v>
      </c>
      <c r="J2" s="29" t="s">
        <v>35</v>
      </c>
      <c r="K2" s="31"/>
    </row>
    <row r="3" spans="1:29" x14ac:dyDescent="0.25">
      <c r="A3">
        <v>84954838</v>
      </c>
      <c r="B3">
        <v>2011395910</v>
      </c>
      <c r="C3">
        <v>450</v>
      </c>
      <c r="E3" t="s">
        <v>10</v>
      </c>
      <c r="F3" t="s">
        <v>224</v>
      </c>
      <c r="G3">
        <v>2</v>
      </c>
      <c r="H3">
        <v>12</v>
      </c>
      <c r="I3">
        <v>0</v>
      </c>
      <c r="J3">
        <v>6</v>
      </c>
      <c r="K3" t="s">
        <v>59</v>
      </c>
      <c r="L3" s="18">
        <v>0</v>
      </c>
      <c r="M3" t="s">
        <v>59</v>
      </c>
      <c r="N3" s="18">
        <v>0.25</v>
      </c>
      <c r="O3" t="s">
        <v>11</v>
      </c>
      <c r="P3" t="s">
        <v>14</v>
      </c>
      <c r="Q3" t="s">
        <v>13</v>
      </c>
      <c r="T3" s="18">
        <v>0</v>
      </c>
      <c r="W3" s="18">
        <v>1</v>
      </c>
      <c r="Y3">
        <v>0</v>
      </c>
      <c r="Z3">
        <v>0</v>
      </c>
      <c r="AA3">
        <v>2</v>
      </c>
      <c r="AB3" t="s">
        <v>20</v>
      </c>
      <c r="AC3">
        <v>18</v>
      </c>
    </row>
    <row r="4" spans="1:29" x14ac:dyDescent="0.25">
      <c r="A4">
        <v>124874028</v>
      </c>
      <c r="B4">
        <v>2011395910</v>
      </c>
      <c r="C4">
        <v>470</v>
      </c>
      <c r="E4" t="s">
        <v>10</v>
      </c>
      <c r="F4" t="s">
        <v>225</v>
      </c>
      <c r="G4">
        <v>2</v>
      </c>
      <c r="H4">
        <v>12</v>
      </c>
      <c r="I4">
        <v>0</v>
      </c>
      <c r="J4">
        <v>6</v>
      </c>
      <c r="K4" t="s">
        <v>59</v>
      </c>
      <c r="L4" s="18">
        <v>0.33333333333333331</v>
      </c>
      <c r="M4" t="s">
        <v>59</v>
      </c>
      <c r="N4" s="18">
        <v>0.58333333333333337</v>
      </c>
      <c r="O4" t="s">
        <v>11</v>
      </c>
      <c r="P4" t="s">
        <v>14</v>
      </c>
      <c r="Q4" t="s">
        <v>13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20</v>
      </c>
      <c r="AC4">
        <v>18</v>
      </c>
    </row>
    <row r="5" spans="1:29" x14ac:dyDescent="0.25">
      <c r="A5">
        <v>134190021</v>
      </c>
      <c r="B5">
        <v>2028171056</v>
      </c>
      <c r="C5">
        <v>261</v>
      </c>
      <c r="E5" t="s">
        <v>10</v>
      </c>
      <c r="F5" t="s">
        <v>231</v>
      </c>
      <c r="G5">
        <v>4</v>
      </c>
      <c r="H5">
        <v>24</v>
      </c>
      <c r="I5">
        <v>0</v>
      </c>
      <c r="J5">
        <v>6</v>
      </c>
      <c r="K5" t="s">
        <v>59</v>
      </c>
      <c r="L5" s="18">
        <v>0.72083333333333333</v>
      </c>
      <c r="M5" t="s">
        <v>62</v>
      </c>
      <c r="N5" s="18">
        <v>0.54583333333333328</v>
      </c>
      <c r="O5" t="s">
        <v>11</v>
      </c>
      <c r="P5" t="s">
        <v>14</v>
      </c>
      <c r="Q5" t="s">
        <v>13</v>
      </c>
      <c r="T5" s="18">
        <v>0</v>
      </c>
      <c r="W5" s="19">
        <v>0</v>
      </c>
      <c r="Y5">
        <v>0</v>
      </c>
      <c r="Z5">
        <v>0</v>
      </c>
      <c r="AA5">
        <v>1</v>
      </c>
      <c r="AB5" t="s">
        <v>20</v>
      </c>
      <c r="AC5">
        <v>18</v>
      </c>
    </row>
    <row r="6" spans="1:29" x14ac:dyDescent="0.25">
      <c r="A6">
        <v>133868411</v>
      </c>
      <c r="B6">
        <v>2028602610</v>
      </c>
      <c r="C6">
        <v>35</v>
      </c>
      <c r="E6" t="s">
        <v>10</v>
      </c>
      <c r="F6" t="s">
        <v>232</v>
      </c>
      <c r="G6">
        <v>4</v>
      </c>
      <c r="H6">
        <v>8</v>
      </c>
      <c r="I6">
        <v>0</v>
      </c>
      <c r="J6">
        <v>2</v>
      </c>
      <c r="K6" t="s">
        <v>59</v>
      </c>
      <c r="L6" s="18">
        <v>0.64583333333333337</v>
      </c>
      <c r="M6" t="s">
        <v>59</v>
      </c>
      <c r="N6" s="18">
        <v>0.72916666666666663</v>
      </c>
      <c r="O6" t="s">
        <v>40</v>
      </c>
      <c r="P6" t="s">
        <v>14</v>
      </c>
      <c r="Q6" t="s">
        <v>13</v>
      </c>
      <c r="T6" s="18">
        <v>0</v>
      </c>
      <c r="W6" s="19">
        <v>0</v>
      </c>
      <c r="Y6">
        <v>0</v>
      </c>
      <c r="Z6">
        <v>0</v>
      </c>
      <c r="AA6">
        <v>1</v>
      </c>
      <c r="AB6" t="s">
        <v>20</v>
      </c>
      <c r="AC6">
        <v>18</v>
      </c>
    </row>
    <row r="7" spans="1:29" x14ac:dyDescent="0.25">
      <c r="A7">
        <v>116863570</v>
      </c>
      <c r="B7">
        <v>2028602611</v>
      </c>
      <c r="C7">
        <v>50</v>
      </c>
      <c r="E7" t="s">
        <v>10</v>
      </c>
      <c r="F7" t="s">
        <v>233</v>
      </c>
      <c r="G7">
        <v>4</v>
      </c>
      <c r="H7">
        <v>8</v>
      </c>
      <c r="I7">
        <v>0</v>
      </c>
      <c r="J7">
        <v>2</v>
      </c>
      <c r="K7" t="s">
        <v>59</v>
      </c>
      <c r="L7" s="18">
        <v>0.60416666666666663</v>
      </c>
      <c r="M7" t="s">
        <v>59</v>
      </c>
      <c r="N7" s="18">
        <v>0.6875</v>
      </c>
      <c r="O7" t="s">
        <v>40</v>
      </c>
      <c r="P7" t="s">
        <v>14</v>
      </c>
      <c r="Q7" t="s">
        <v>13</v>
      </c>
      <c r="T7" s="18">
        <v>0</v>
      </c>
      <c r="W7" s="19">
        <v>0</v>
      </c>
      <c r="Y7">
        <v>0</v>
      </c>
      <c r="Z7">
        <v>0</v>
      </c>
      <c r="AA7">
        <v>1</v>
      </c>
      <c r="AB7" t="s">
        <v>20</v>
      </c>
      <c r="AC7">
        <v>18</v>
      </c>
    </row>
    <row r="8" spans="1:29" x14ac:dyDescent="0.25">
      <c r="A8">
        <v>122426196</v>
      </c>
      <c r="B8">
        <v>2029673393</v>
      </c>
      <c r="C8">
        <v>4</v>
      </c>
      <c r="E8" t="s">
        <v>10</v>
      </c>
      <c r="F8" t="s">
        <v>236</v>
      </c>
      <c r="G8">
        <v>4</v>
      </c>
      <c r="H8">
        <v>16</v>
      </c>
      <c r="I8">
        <v>0</v>
      </c>
      <c r="J8">
        <v>4</v>
      </c>
      <c r="K8" t="s">
        <v>59</v>
      </c>
      <c r="L8" s="18">
        <v>0.42916666666666664</v>
      </c>
      <c r="M8" t="s">
        <v>59</v>
      </c>
      <c r="N8" s="18">
        <v>0.60416666666666663</v>
      </c>
      <c r="O8" t="s">
        <v>39</v>
      </c>
      <c r="P8" t="s">
        <v>14</v>
      </c>
      <c r="Q8" t="s">
        <v>13</v>
      </c>
      <c r="T8" s="18">
        <v>0</v>
      </c>
      <c r="W8" s="18">
        <v>0</v>
      </c>
      <c r="Y8">
        <v>0</v>
      </c>
      <c r="Z8">
        <v>0</v>
      </c>
      <c r="AA8">
        <v>1</v>
      </c>
      <c r="AB8" t="s">
        <v>20</v>
      </c>
      <c r="AC8">
        <v>18</v>
      </c>
    </row>
    <row r="9" spans="1:29" x14ac:dyDescent="0.25">
      <c r="A9">
        <v>126580675</v>
      </c>
      <c r="B9">
        <v>2030283038</v>
      </c>
      <c r="C9">
        <v>260</v>
      </c>
      <c r="E9" t="s">
        <v>10</v>
      </c>
      <c r="F9" t="s">
        <v>240</v>
      </c>
      <c r="G9">
        <v>4</v>
      </c>
      <c r="H9">
        <v>8</v>
      </c>
      <c r="I9">
        <v>0</v>
      </c>
      <c r="J9">
        <v>2</v>
      </c>
      <c r="K9" t="s">
        <v>62</v>
      </c>
      <c r="L9" s="18">
        <v>0.66249999999999998</v>
      </c>
      <c r="M9" t="s">
        <v>62</v>
      </c>
      <c r="N9" s="18">
        <v>0.72916666666666663</v>
      </c>
      <c r="O9" t="s">
        <v>39</v>
      </c>
      <c r="P9" t="s">
        <v>14</v>
      </c>
      <c r="Q9" t="s">
        <v>13</v>
      </c>
      <c r="T9" s="18">
        <v>0</v>
      </c>
      <c r="W9" s="18">
        <v>0</v>
      </c>
      <c r="Y9">
        <v>0</v>
      </c>
      <c r="Z9">
        <v>0</v>
      </c>
      <c r="AA9">
        <v>1</v>
      </c>
      <c r="AB9" t="s">
        <v>20</v>
      </c>
      <c r="AC9">
        <v>18</v>
      </c>
    </row>
    <row r="10" spans="1:29" x14ac:dyDescent="0.25">
      <c r="A10">
        <v>126875470</v>
      </c>
      <c r="B10">
        <v>2030342743</v>
      </c>
      <c r="C10">
        <v>10</v>
      </c>
      <c r="E10" t="s">
        <v>10</v>
      </c>
      <c r="F10" t="s">
        <v>241</v>
      </c>
      <c r="G10">
        <v>4</v>
      </c>
      <c r="H10">
        <v>16</v>
      </c>
      <c r="I10">
        <v>0</v>
      </c>
      <c r="J10">
        <v>4</v>
      </c>
      <c r="K10" t="s">
        <v>59</v>
      </c>
      <c r="L10" s="18">
        <v>0.3125</v>
      </c>
      <c r="M10" t="s">
        <v>59</v>
      </c>
      <c r="N10" s="18">
        <v>0.47916666666666669</v>
      </c>
      <c r="O10" t="s">
        <v>39</v>
      </c>
      <c r="P10" t="s">
        <v>14</v>
      </c>
      <c r="Q10" t="s">
        <v>13</v>
      </c>
      <c r="T10" s="18">
        <v>0</v>
      </c>
      <c r="W10" s="18">
        <v>0</v>
      </c>
      <c r="Y10">
        <v>0</v>
      </c>
      <c r="Z10">
        <v>0</v>
      </c>
      <c r="AA10">
        <v>1</v>
      </c>
      <c r="AB10" t="s">
        <v>20</v>
      </c>
      <c r="AC10">
        <v>18</v>
      </c>
    </row>
    <row r="11" spans="1:29" x14ac:dyDescent="0.25">
      <c r="A11">
        <v>128537263</v>
      </c>
      <c r="B11">
        <v>2030342743</v>
      </c>
      <c r="C11">
        <v>90</v>
      </c>
      <c r="E11" t="s">
        <v>10</v>
      </c>
      <c r="F11" t="s">
        <v>242</v>
      </c>
      <c r="G11">
        <v>4</v>
      </c>
      <c r="H11">
        <v>12</v>
      </c>
      <c r="I11">
        <v>0</v>
      </c>
      <c r="J11">
        <v>3</v>
      </c>
      <c r="K11" t="s">
        <v>59</v>
      </c>
      <c r="L11" s="18">
        <v>0.3125</v>
      </c>
      <c r="M11" t="s">
        <v>59</v>
      </c>
      <c r="N11" s="18">
        <v>0.4375</v>
      </c>
      <c r="O11" t="s">
        <v>39</v>
      </c>
      <c r="P11" t="s">
        <v>14</v>
      </c>
      <c r="Q11" t="s">
        <v>13</v>
      </c>
      <c r="T11" s="18">
        <v>0</v>
      </c>
      <c r="W11" s="18">
        <v>0</v>
      </c>
      <c r="Y11">
        <v>0</v>
      </c>
      <c r="Z11">
        <v>0</v>
      </c>
      <c r="AA11">
        <v>1</v>
      </c>
      <c r="AB11" t="s">
        <v>20</v>
      </c>
      <c r="AC11">
        <v>18</v>
      </c>
    </row>
    <row r="12" spans="1:29" x14ac:dyDescent="0.25">
      <c r="A12">
        <v>130927491</v>
      </c>
      <c r="B12">
        <v>2030910115</v>
      </c>
      <c r="C12">
        <v>160</v>
      </c>
      <c r="E12" t="s">
        <v>10</v>
      </c>
      <c r="F12" t="s">
        <v>251</v>
      </c>
      <c r="G12">
        <v>4</v>
      </c>
      <c r="H12">
        <v>8</v>
      </c>
      <c r="I12">
        <v>0</v>
      </c>
      <c r="J12">
        <v>2</v>
      </c>
      <c r="K12" t="s">
        <v>60</v>
      </c>
      <c r="L12" s="18">
        <v>0</v>
      </c>
      <c r="M12" t="s">
        <v>60</v>
      </c>
      <c r="N12" s="18">
        <v>8.3333333333333329E-2</v>
      </c>
      <c r="O12" t="s">
        <v>19</v>
      </c>
      <c r="P12" t="s">
        <v>14</v>
      </c>
      <c r="Q12" t="s">
        <v>13</v>
      </c>
      <c r="T12" s="18">
        <v>0</v>
      </c>
      <c r="W12" s="18">
        <v>0</v>
      </c>
      <c r="Y12">
        <v>0</v>
      </c>
      <c r="Z12">
        <v>0</v>
      </c>
      <c r="AA12">
        <v>1</v>
      </c>
      <c r="AB12" t="s">
        <v>20</v>
      </c>
      <c r="AC12">
        <v>18</v>
      </c>
    </row>
    <row r="13" spans="1:29" x14ac:dyDescent="0.25">
      <c r="A13">
        <v>130927510</v>
      </c>
      <c r="B13">
        <v>2030910115</v>
      </c>
      <c r="C13">
        <v>291</v>
      </c>
      <c r="E13" t="s">
        <v>10</v>
      </c>
      <c r="F13" t="s">
        <v>252</v>
      </c>
      <c r="G13">
        <v>4</v>
      </c>
      <c r="H13">
        <v>8</v>
      </c>
      <c r="I13">
        <v>0</v>
      </c>
      <c r="J13">
        <v>2</v>
      </c>
      <c r="K13" t="s">
        <v>60</v>
      </c>
      <c r="L13" s="18">
        <v>0</v>
      </c>
      <c r="M13" t="s">
        <v>60</v>
      </c>
      <c r="N13" s="18">
        <v>8.3333333333333329E-2</v>
      </c>
      <c r="O13" t="s">
        <v>19</v>
      </c>
      <c r="P13" t="s">
        <v>14</v>
      </c>
      <c r="Q13" t="s">
        <v>13</v>
      </c>
      <c r="T13" s="18">
        <v>0</v>
      </c>
      <c r="W13" s="18">
        <v>0</v>
      </c>
      <c r="Y13">
        <v>0</v>
      </c>
      <c r="Z13">
        <v>0</v>
      </c>
      <c r="AA13">
        <v>1</v>
      </c>
      <c r="AB13" t="s">
        <v>20</v>
      </c>
      <c r="AC13">
        <v>18</v>
      </c>
    </row>
    <row r="14" spans="1:29" x14ac:dyDescent="0.25">
      <c r="A14">
        <v>130950930</v>
      </c>
      <c r="B14">
        <v>2030969410</v>
      </c>
      <c r="C14">
        <v>70</v>
      </c>
      <c r="E14" t="s">
        <v>10</v>
      </c>
      <c r="F14" t="s">
        <v>253</v>
      </c>
      <c r="G14">
        <v>4</v>
      </c>
      <c r="H14">
        <v>6</v>
      </c>
      <c r="I14">
        <v>0</v>
      </c>
      <c r="J14">
        <v>1.5</v>
      </c>
      <c r="K14" t="s">
        <v>59</v>
      </c>
      <c r="L14" s="18">
        <v>0.37916666666666665</v>
      </c>
      <c r="M14" t="s">
        <v>59</v>
      </c>
      <c r="N14" s="18">
        <v>0.42916666666666664</v>
      </c>
      <c r="O14" t="s">
        <v>39</v>
      </c>
      <c r="P14" t="s">
        <v>14</v>
      </c>
      <c r="Q14" t="s">
        <v>13</v>
      </c>
      <c r="T14" s="18">
        <v>0</v>
      </c>
      <c r="W14" s="18">
        <v>0</v>
      </c>
      <c r="Y14">
        <v>0</v>
      </c>
      <c r="Z14">
        <v>0</v>
      </c>
      <c r="AA14">
        <v>2</v>
      </c>
      <c r="AB14" t="s">
        <v>20</v>
      </c>
      <c r="AC14">
        <v>18</v>
      </c>
    </row>
    <row r="15" spans="1:29" x14ac:dyDescent="0.25">
      <c r="A15">
        <v>132200747</v>
      </c>
      <c r="B15">
        <v>2031119357</v>
      </c>
      <c r="C15">
        <v>250</v>
      </c>
      <c r="E15" t="s">
        <v>10</v>
      </c>
      <c r="F15" t="s">
        <v>261</v>
      </c>
      <c r="G15">
        <v>4</v>
      </c>
      <c r="H15">
        <v>12</v>
      </c>
      <c r="I15">
        <v>0</v>
      </c>
      <c r="J15">
        <v>3</v>
      </c>
      <c r="K15" t="s">
        <v>59</v>
      </c>
      <c r="L15" s="18">
        <v>0</v>
      </c>
      <c r="M15" t="s">
        <v>59</v>
      </c>
      <c r="N15" s="18">
        <v>0.125</v>
      </c>
      <c r="O15" t="s">
        <v>11</v>
      </c>
      <c r="P15" t="s">
        <v>14</v>
      </c>
      <c r="Q15" t="s">
        <v>13</v>
      </c>
      <c r="T15" s="18">
        <v>0</v>
      </c>
      <c r="W15" s="18">
        <v>0</v>
      </c>
      <c r="Y15">
        <v>0</v>
      </c>
      <c r="Z15">
        <v>0</v>
      </c>
      <c r="AA15">
        <v>2</v>
      </c>
      <c r="AB15" t="s">
        <v>20</v>
      </c>
      <c r="AC15">
        <v>18</v>
      </c>
    </row>
    <row r="16" spans="1:29" x14ac:dyDescent="0.25">
      <c r="A16">
        <v>132200752</v>
      </c>
      <c r="B16">
        <v>2031119357</v>
      </c>
      <c r="C16">
        <v>270</v>
      </c>
      <c r="E16" t="s">
        <v>10</v>
      </c>
      <c r="F16" t="s">
        <v>262</v>
      </c>
      <c r="G16">
        <v>4</v>
      </c>
      <c r="H16">
        <v>12</v>
      </c>
      <c r="I16">
        <v>0</v>
      </c>
      <c r="J16">
        <v>3</v>
      </c>
      <c r="K16" t="s">
        <v>59</v>
      </c>
      <c r="L16" s="18">
        <v>0.20833333333333334</v>
      </c>
      <c r="M16" t="s">
        <v>59</v>
      </c>
      <c r="N16" s="18">
        <v>0.33333333333333331</v>
      </c>
      <c r="O16" t="s">
        <v>11</v>
      </c>
      <c r="P16" t="s">
        <v>14</v>
      </c>
      <c r="Q16" t="s">
        <v>13</v>
      </c>
      <c r="T16" s="18">
        <v>0</v>
      </c>
      <c r="W16" s="18">
        <v>0</v>
      </c>
      <c r="Y16">
        <v>0</v>
      </c>
      <c r="Z16">
        <v>0</v>
      </c>
      <c r="AA16">
        <v>2</v>
      </c>
      <c r="AB16" t="s">
        <v>20</v>
      </c>
      <c r="AC16">
        <v>18</v>
      </c>
    </row>
    <row r="17" spans="1:29" x14ac:dyDescent="0.25">
      <c r="A17">
        <v>133255209</v>
      </c>
      <c r="B17">
        <v>2031292525</v>
      </c>
      <c r="C17">
        <v>10</v>
      </c>
      <c r="E17" t="s">
        <v>10</v>
      </c>
      <c r="F17" t="s">
        <v>263</v>
      </c>
      <c r="G17">
        <v>4</v>
      </c>
      <c r="H17">
        <v>12</v>
      </c>
      <c r="I17">
        <v>0</v>
      </c>
      <c r="J17">
        <v>3</v>
      </c>
      <c r="K17" t="s">
        <v>59</v>
      </c>
      <c r="L17" s="18">
        <v>0.3125</v>
      </c>
      <c r="M17" t="s">
        <v>59</v>
      </c>
      <c r="N17" s="18">
        <v>0.41249999999999998</v>
      </c>
      <c r="O17" t="s">
        <v>11</v>
      </c>
      <c r="P17" t="s">
        <v>14</v>
      </c>
      <c r="Q17" t="s">
        <v>13</v>
      </c>
      <c r="T17" s="18">
        <v>0</v>
      </c>
      <c r="W17" s="18">
        <v>1</v>
      </c>
      <c r="Y17">
        <v>0</v>
      </c>
      <c r="Z17">
        <v>0</v>
      </c>
      <c r="AA17">
        <v>2</v>
      </c>
      <c r="AB17" t="s">
        <v>20</v>
      </c>
      <c r="AC17">
        <v>18</v>
      </c>
    </row>
    <row r="18" spans="1:29" x14ac:dyDescent="0.25">
      <c r="A18">
        <v>133255217</v>
      </c>
      <c r="B18">
        <v>2031292525</v>
      </c>
      <c r="C18">
        <v>70</v>
      </c>
      <c r="E18" t="s">
        <v>10</v>
      </c>
      <c r="F18" t="s">
        <v>264</v>
      </c>
      <c r="G18">
        <v>4</v>
      </c>
      <c r="H18">
        <v>6</v>
      </c>
      <c r="I18">
        <v>0</v>
      </c>
      <c r="J18">
        <v>1.5</v>
      </c>
      <c r="K18" t="s">
        <v>72</v>
      </c>
      <c r="L18" s="18">
        <v>0.59583333333333333</v>
      </c>
      <c r="M18" t="s">
        <v>72</v>
      </c>
      <c r="N18" s="18">
        <v>0.64583333333333337</v>
      </c>
      <c r="O18" t="s">
        <v>11</v>
      </c>
      <c r="P18" t="s">
        <v>14</v>
      </c>
      <c r="Q18" t="s">
        <v>13</v>
      </c>
      <c r="T18" s="18">
        <v>0</v>
      </c>
      <c r="W18" s="18">
        <v>1</v>
      </c>
      <c r="Y18">
        <v>0</v>
      </c>
      <c r="Z18">
        <v>0</v>
      </c>
      <c r="AA18">
        <v>2</v>
      </c>
      <c r="AB18" t="s">
        <v>20</v>
      </c>
      <c r="AC18">
        <v>18</v>
      </c>
    </row>
    <row r="19" spans="1:29" x14ac:dyDescent="0.25">
      <c r="A19">
        <v>133865631</v>
      </c>
      <c r="B19">
        <v>2031324296</v>
      </c>
      <c r="C19">
        <v>46</v>
      </c>
      <c r="E19" t="s">
        <v>10</v>
      </c>
      <c r="F19" t="s">
        <v>267</v>
      </c>
      <c r="G19">
        <v>4</v>
      </c>
      <c r="H19">
        <v>8</v>
      </c>
      <c r="I19">
        <v>0</v>
      </c>
      <c r="J19">
        <v>2</v>
      </c>
      <c r="K19" t="s">
        <v>59</v>
      </c>
      <c r="L19" s="18">
        <v>0</v>
      </c>
      <c r="M19" t="s">
        <v>59</v>
      </c>
      <c r="N19" s="18">
        <v>8.3333333333333329E-2</v>
      </c>
      <c r="O19" t="s">
        <v>40</v>
      </c>
      <c r="P19" t="s">
        <v>14</v>
      </c>
      <c r="Q19" t="s">
        <v>13</v>
      </c>
      <c r="T19" s="18">
        <v>0</v>
      </c>
      <c r="W19" s="18">
        <v>0</v>
      </c>
      <c r="Y19">
        <v>0</v>
      </c>
      <c r="Z19">
        <v>0</v>
      </c>
      <c r="AA19">
        <v>1</v>
      </c>
      <c r="AB19" t="s">
        <v>20</v>
      </c>
      <c r="AC19">
        <v>18</v>
      </c>
    </row>
    <row r="20" spans="1:29" x14ac:dyDescent="0.25">
      <c r="A20">
        <v>133865636</v>
      </c>
      <c r="B20">
        <v>2031324296</v>
      </c>
      <c r="C20">
        <v>120</v>
      </c>
      <c r="E20" t="s">
        <v>10</v>
      </c>
      <c r="F20" t="s">
        <v>268</v>
      </c>
      <c r="G20">
        <v>4</v>
      </c>
      <c r="H20">
        <v>8</v>
      </c>
      <c r="I20">
        <v>0</v>
      </c>
      <c r="J20">
        <v>2</v>
      </c>
      <c r="K20" t="s">
        <v>59</v>
      </c>
      <c r="L20" s="18">
        <v>0.45833333333333331</v>
      </c>
      <c r="M20" t="s">
        <v>59</v>
      </c>
      <c r="N20" s="18">
        <v>0.54166666666666663</v>
      </c>
      <c r="O20" t="s">
        <v>40</v>
      </c>
      <c r="P20" t="s">
        <v>14</v>
      </c>
      <c r="Q20" t="s">
        <v>13</v>
      </c>
      <c r="T20" s="18">
        <v>0</v>
      </c>
      <c r="W20" s="18">
        <v>0</v>
      </c>
      <c r="Y20">
        <v>0</v>
      </c>
      <c r="Z20">
        <v>0</v>
      </c>
      <c r="AA20">
        <v>1</v>
      </c>
      <c r="AB20" t="s">
        <v>20</v>
      </c>
      <c r="AC20">
        <v>18</v>
      </c>
    </row>
    <row r="21" spans="1:29" x14ac:dyDescent="0.25">
      <c r="A21">
        <v>133865642</v>
      </c>
      <c r="B21">
        <v>2031324296</v>
      </c>
      <c r="C21">
        <v>160</v>
      </c>
      <c r="E21" t="s">
        <v>10</v>
      </c>
      <c r="F21" t="s">
        <v>269</v>
      </c>
      <c r="G21">
        <v>4</v>
      </c>
      <c r="H21">
        <v>8</v>
      </c>
      <c r="I21">
        <v>0</v>
      </c>
      <c r="J21">
        <v>2</v>
      </c>
      <c r="K21" t="s">
        <v>59</v>
      </c>
      <c r="L21" s="18">
        <v>0.91666666666666663</v>
      </c>
      <c r="M21" t="s">
        <v>59</v>
      </c>
      <c r="N21" s="18">
        <v>1</v>
      </c>
      <c r="O21" t="s">
        <v>40</v>
      </c>
      <c r="P21" t="s">
        <v>14</v>
      </c>
      <c r="Q21" t="s">
        <v>13</v>
      </c>
      <c r="T21" s="18">
        <v>0</v>
      </c>
      <c r="W21" s="18">
        <v>0</v>
      </c>
      <c r="Y21">
        <v>0</v>
      </c>
      <c r="Z21">
        <v>0</v>
      </c>
      <c r="AA21">
        <v>1</v>
      </c>
      <c r="AB21" t="s">
        <v>20</v>
      </c>
      <c r="AC21">
        <v>18</v>
      </c>
    </row>
    <row r="22" spans="1:29" x14ac:dyDescent="0.25">
      <c r="A22">
        <v>133596954</v>
      </c>
      <c r="B22">
        <v>2031335926</v>
      </c>
      <c r="C22">
        <v>220</v>
      </c>
      <c r="E22" t="s">
        <v>10</v>
      </c>
      <c r="F22" t="s">
        <v>271</v>
      </c>
      <c r="G22">
        <v>4</v>
      </c>
      <c r="H22">
        <v>12</v>
      </c>
      <c r="I22">
        <v>0</v>
      </c>
      <c r="J22">
        <v>3</v>
      </c>
      <c r="K22" t="s">
        <v>59</v>
      </c>
      <c r="L22" s="18">
        <v>0.3125</v>
      </c>
      <c r="M22" t="s">
        <v>59</v>
      </c>
      <c r="N22" s="18">
        <v>0.41249999999999998</v>
      </c>
      <c r="O22" t="s">
        <v>19</v>
      </c>
      <c r="P22" t="s">
        <v>14</v>
      </c>
      <c r="Q22" t="s">
        <v>13</v>
      </c>
      <c r="T22" s="18">
        <v>0</v>
      </c>
      <c r="W22" s="19">
        <v>0</v>
      </c>
      <c r="Y22">
        <v>0</v>
      </c>
      <c r="Z22">
        <v>0</v>
      </c>
      <c r="AA22">
        <v>1</v>
      </c>
      <c r="AB22" t="s">
        <v>20</v>
      </c>
      <c r="AC22">
        <v>18</v>
      </c>
    </row>
    <row r="23" spans="1:29" x14ac:dyDescent="0.25">
      <c r="A23">
        <v>134596164</v>
      </c>
      <c r="B23">
        <v>2031335926</v>
      </c>
      <c r="C23">
        <v>230</v>
      </c>
      <c r="E23" t="s">
        <v>10</v>
      </c>
      <c r="F23" t="s">
        <v>272</v>
      </c>
      <c r="G23">
        <v>4</v>
      </c>
      <c r="H23">
        <v>6</v>
      </c>
      <c r="I23">
        <v>0</v>
      </c>
      <c r="J23">
        <v>1.5</v>
      </c>
      <c r="K23" t="s">
        <v>59</v>
      </c>
      <c r="L23" s="18">
        <v>0.3125</v>
      </c>
      <c r="M23" t="s">
        <v>59</v>
      </c>
      <c r="N23" s="18">
        <v>0.36249999999999999</v>
      </c>
      <c r="O23" t="s">
        <v>39</v>
      </c>
      <c r="P23" t="s">
        <v>14</v>
      </c>
      <c r="Q23" t="s">
        <v>13</v>
      </c>
      <c r="T23" s="18">
        <v>0</v>
      </c>
      <c r="W23" s="19">
        <v>0</v>
      </c>
      <c r="Y23">
        <v>0</v>
      </c>
      <c r="Z23">
        <v>0</v>
      </c>
      <c r="AA23">
        <v>1</v>
      </c>
      <c r="AB23" t="s">
        <v>20</v>
      </c>
      <c r="AC23">
        <v>18</v>
      </c>
    </row>
    <row r="24" spans="1:29" x14ac:dyDescent="0.25">
      <c r="A24">
        <v>133834154</v>
      </c>
      <c r="B24">
        <v>2031384666</v>
      </c>
      <c r="C24">
        <v>10</v>
      </c>
      <c r="E24" t="s">
        <v>10</v>
      </c>
      <c r="F24" t="s">
        <v>275</v>
      </c>
      <c r="G24">
        <v>4</v>
      </c>
      <c r="H24">
        <v>16</v>
      </c>
      <c r="I24">
        <v>0</v>
      </c>
      <c r="J24">
        <v>4</v>
      </c>
      <c r="K24" t="s">
        <v>59</v>
      </c>
      <c r="L24" s="18">
        <v>0.6875</v>
      </c>
      <c r="M24" t="s">
        <v>62</v>
      </c>
      <c r="N24" s="18">
        <v>0.40416666666666667</v>
      </c>
      <c r="O24" t="s">
        <v>39</v>
      </c>
      <c r="P24" t="s">
        <v>14</v>
      </c>
      <c r="Q24" t="s">
        <v>13</v>
      </c>
      <c r="T24" s="18">
        <v>0</v>
      </c>
      <c r="W24" s="19">
        <v>0</v>
      </c>
      <c r="Y24">
        <v>0</v>
      </c>
      <c r="Z24">
        <v>0</v>
      </c>
      <c r="AA24">
        <v>2</v>
      </c>
      <c r="AB24" t="s">
        <v>20</v>
      </c>
      <c r="AC24">
        <v>18</v>
      </c>
    </row>
    <row r="25" spans="1:29" x14ac:dyDescent="0.25">
      <c r="A25">
        <v>134567573</v>
      </c>
      <c r="B25">
        <v>2031493634</v>
      </c>
      <c r="C25">
        <v>10</v>
      </c>
      <c r="E25" t="s">
        <v>10</v>
      </c>
      <c r="F25" t="s">
        <v>286</v>
      </c>
      <c r="G25">
        <v>4</v>
      </c>
      <c r="H25">
        <v>24</v>
      </c>
      <c r="I25">
        <v>0</v>
      </c>
      <c r="J25">
        <v>6</v>
      </c>
      <c r="K25" t="s">
        <v>59</v>
      </c>
      <c r="L25" s="18">
        <v>0</v>
      </c>
      <c r="M25" t="s">
        <v>59</v>
      </c>
      <c r="N25" s="18">
        <v>0.25</v>
      </c>
      <c r="O25" t="s">
        <v>39</v>
      </c>
      <c r="P25" t="s">
        <v>14</v>
      </c>
      <c r="Q25" t="s">
        <v>13</v>
      </c>
      <c r="T25" s="18">
        <v>0</v>
      </c>
      <c r="W25" s="18">
        <v>0</v>
      </c>
      <c r="Y25">
        <v>0</v>
      </c>
      <c r="Z25">
        <v>0</v>
      </c>
      <c r="AA25">
        <v>2</v>
      </c>
      <c r="AB25" t="s">
        <v>20</v>
      </c>
      <c r="AC25">
        <v>18</v>
      </c>
    </row>
    <row r="26" spans="1:29" x14ac:dyDescent="0.25">
      <c r="A26">
        <v>134567580</v>
      </c>
      <c r="B26">
        <v>2031493634</v>
      </c>
      <c r="C26">
        <v>90</v>
      </c>
      <c r="E26" t="s">
        <v>10</v>
      </c>
      <c r="F26" t="s">
        <v>287</v>
      </c>
      <c r="G26">
        <v>4</v>
      </c>
      <c r="H26">
        <v>8</v>
      </c>
      <c r="I26">
        <v>0</v>
      </c>
      <c r="J26">
        <v>2</v>
      </c>
      <c r="K26" t="s">
        <v>59</v>
      </c>
      <c r="L26" s="18">
        <v>0.64583333333333337</v>
      </c>
      <c r="M26" t="s">
        <v>59</v>
      </c>
      <c r="N26" s="18">
        <v>0.72916666666666663</v>
      </c>
      <c r="O26" t="s">
        <v>11</v>
      </c>
      <c r="P26" t="s">
        <v>14</v>
      </c>
      <c r="Q26" t="s">
        <v>13</v>
      </c>
      <c r="T26" s="18">
        <v>0</v>
      </c>
      <c r="W26" s="18">
        <v>0</v>
      </c>
      <c r="Y26">
        <v>0</v>
      </c>
      <c r="Z26">
        <v>0</v>
      </c>
      <c r="AA26">
        <v>2</v>
      </c>
      <c r="AB26" t="s">
        <v>20</v>
      </c>
      <c r="AC26">
        <v>18</v>
      </c>
    </row>
    <row r="27" spans="1:29" x14ac:dyDescent="0.25">
      <c r="A27">
        <v>134567982</v>
      </c>
      <c r="B27">
        <v>2031508728</v>
      </c>
      <c r="C27">
        <v>80</v>
      </c>
      <c r="E27" t="s">
        <v>10</v>
      </c>
      <c r="F27" t="s">
        <v>57</v>
      </c>
      <c r="G27">
        <v>4</v>
      </c>
      <c r="H27">
        <v>8</v>
      </c>
      <c r="I27">
        <v>0</v>
      </c>
      <c r="J27">
        <v>2</v>
      </c>
      <c r="K27" t="s">
        <v>60</v>
      </c>
      <c r="L27" s="18">
        <v>0.5708333333333333</v>
      </c>
      <c r="M27" t="s">
        <v>60</v>
      </c>
      <c r="N27" s="18">
        <v>0.63734953703703701</v>
      </c>
      <c r="O27" t="s">
        <v>19</v>
      </c>
      <c r="P27" t="s">
        <v>56</v>
      </c>
      <c r="Q27" t="s">
        <v>13</v>
      </c>
      <c r="T27" s="18">
        <v>0</v>
      </c>
      <c r="W27" s="18">
        <v>0</v>
      </c>
      <c r="Y27">
        <v>0</v>
      </c>
      <c r="Z27">
        <v>0</v>
      </c>
      <c r="AA27">
        <v>1</v>
      </c>
      <c r="AB27" t="s">
        <v>20</v>
      </c>
      <c r="AC27">
        <v>18</v>
      </c>
    </row>
    <row r="28" spans="1:29" x14ac:dyDescent="0.25">
      <c r="A28">
        <v>134985986</v>
      </c>
      <c r="B28">
        <v>2031541764</v>
      </c>
      <c r="C28">
        <v>50</v>
      </c>
      <c r="E28" t="s">
        <v>10</v>
      </c>
      <c r="F28" t="s">
        <v>289</v>
      </c>
      <c r="G28">
        <v>4</v>
      </c>
      <c r="H28">
        <v>12</v>
      </c>
      <c r="I28">
        <v>0</v>
      </c>
      <c r="J28">
        <v>3</v>
      </c>
      <c r="K28" t="s">
        <v>59</v>
      </c>
      <c r="L28" s="18">
        <v>0.6875</v>
      </c>
      <c r="M28" t="s">
        <v>62</v>
      </c>
      <c r="N28" s="18">
        <v>0.39583333333333331</v>
      </c>
      <c r="O28" t="s">
        <v>39</v>
      </c>
      <c r="P28" t="s">
        <v>14</v>
      </c>
      <c r="Q28" t="s">
        <v>13</v>
      </c>
      <c r="T28" s="18">
        <v>0</v>
      </c>
      <c r="W28" s="18">
        <v>0</v>
      </c>
      <c r="Y28">
        <v>0</v>
      </c>
      <c r="Z28">
        <v>0</v>
      </c>
      <c r="AB28" t="s">
        <v>20</v>
      </c>
      <c r="AC28">
        <v>18</v>
      </c>
    </row>
    <row r="29" spans="1:29" x14ac:dyDescent="0.25">
      <c r="A29">
        <v>134985988</v>
      </c>
      <c r="B29">
        <v>2031541764</v>
      </c>
      <c r="C29">
        <v>70</v>
      </c>
      <c r="E29" t="s">
        <v>10</v>
      </c>
      <c r="F29" t="s">
        <v>290</v>
      </c>
      <c r="G29">
        <v>4</v>
      </c>
      <c r="H29">
        <v>6</v>
      </c>
      <c r="I29">
        <v>0</v>
      </c>
      <c r="J29">
        <v>1.5</v>
      </c>
      <c r="K29" t="s">
        <v>62</v>
      </c>
      <c r="L29" s="18">
        <v>0.47916666666666669</v>
      </c>
      <c r="M29" t="s">
        <v>62</v>
      </c>
      <c r="N29" s="18">
        <v>0.58333333333333337</v>
      </c>
      <c r="O29" t="s">
        <v>39</v>
      </c>
      <c r="P29" t="s">
        <v>14</v>
      </c>
      <c r="Q29" t="s">
        <v>13</v>
      </c>
      <c r="T29" s="18">
        <v>0</v>
      </c>
      <c r="W29" s="18">
        <v>0</v>
      </c>
      <c r="Y29">
        <v>0</v>
      </c>
      <c r="Z29">
        <v>0</v>
      </c>
      <c r="AB29" t="s">
        <v>20</v>
      </c>
      <c r="AC29">
        <v>18</v>
      </c>
    </row>
    <row r="30" spans="1:29" x14ac:dyDescent="0.25">
      <c r="A30">
        <v>134994622</v>
      </c>
      <c r="B30">
        <v>2031585552</v>
      </c>
      <c r="C30">
        <v>5</v>
      </c>
      <c r="E30" t="s">
        <v>10</v>
      </c>
      <c r="F30" t="s">
        <v>291</v>
      </c>
      <c r="G30">
        <v>4</v>
      </c>
      <c r="H30">
        <v>8</v>
      </c>
      <c r="I30">
        <v>0</v>
      </c>
      <c r="J30">
        <v>2</v>
      </c>
      <c r="K30" t="s">
        <v>59</v>
      </c>
      <c r="L30" s="18">
        <v>8.3333333333333329E-2</v>
      </c>
      <c r="M30" t="s">
        <v>59</v>
      </c>
      <c r="N30" s="18">
        <v>0.16666666666666666</v>
      </c>
      <c r="O30" t="s">
        <v>11</v>
      </c>
      <c r="P30" t="s">
        <v>14</v>
      </c>
      <c r="Q30" t="s">
        <v>13</v>
      </c>
      <c r="T30" s="18">
        <v>0</v>
      </c>
      <c r="W30" s="18">
        <v>0</v>
      </c>
      <c r="Y30">
        <v>0</v>
      </c>
      <c r="Z30">
        <v>0</v>
      </c>
      <c r="AA30">
        <v>2</v>
      </c>
      <c r="AB30" t="s">
        <v>20</v>
      </c>
      <c r="AC30">
        <v>18</v>
      </c>
    </row>
    <row r="31" spans="1:29" x14ac:dyDescent="0.25">
      <c r="A31">
        <v>135014388</v>
      </c>
      <c r="B31">
        <v>2031585552</v>
      </c>
      <c r="C31">
        <v>130</v>
      </c>
      <c r="E31" t="s">
        <v>10</v>
      </c>
      <c r="F31" t="s">
        <v>292</v>
      </c>
      <c r="G31">
        <v>4</v>
      </c>
      <c r="H31">
        <v>4</v>
      </c>
      <c r="I31">
        <v>0</v>
      </c>
      <c r="J31">
        <v>1</v>
      </c>
      <c r="K31" t="s">
        <v>59</v>
      </c>
      <c r="L31" s="18">
        <v>8.3333333333333329E-2</v>
      </c>
      <c r="M31" t="s">
        <v>59</v>
      </c>
      <c r="N31" s="18">
        <v>0.125</v>
      </c>
      <c r="O31" t="s">
        <v>11</v>
      </c>
      <c r="P31" t="s">
        <v>14</v>
      </c>
      <c r="Q31" t="s">
        <v>13</v>
      </c>
      <c r="T31" s="18">
        <v>0</v>
      </c>
      <c r="W31" s="18">
        <v>0</v>
      </c>
      <c r="Y31">
        <v>0</v>
      </c>
      <c r="Z31">
        <v>0</v>
      </c>
      <c r="AA31">
        <v>2</v>
      </c>
      <c r="AB31" t="s">
        <v>20</v>
      </c>
      <c r="AC31">
        <v>18</v>
      </c>
    </row>
    <row r="32" spans="1:29" x14ac:dyDescent="0.25">
      <c r="A32">
        <v>134994623</v>
      </c>
      <c r="B32">
        <v>2031585553</v>
      </c>
      <c r="C32">
        <v>5</v>
      </c>
      <c r="E32" t="s">
        <v>10</v>
      </c>
      <c r="F32" t="s">
        <v>293</v>
      </c>
      <c r="G32">
        <v>4</v>
      </c>
      <c r="H32">
        <v>8</v>
      </c>
      <c r="I32">
        <v>0</v>
      </c>
      <c r="J32">
        <v>2</v>
      </c>
      <c r="K32" t="s">
        <v>59</v>
      </c>
      <c r="L32" s="18">
        <v>0.3125</v>
      </c>
      <c r="M32" t="s">
        <v>59</v>
      </c>
      <c r="N32" s="18">
        <v>0.39583333333333331</v>
      </c>
      <c r="O32" t="s">
        <v>11</v>
      </c>
      <c r="P32" t="s">
        <v>14</v>
      </c>
      <c r="Q32" t="s">
        <v>13</v>
      </c>
      <c r="T32" s="18">
        <v>0</v>
      </c>
      <c r="W32" s="18">
        <v>0</v>
      </c>
      <c r="Y32">
        <v>0</v>
      </c>
      <c r="Z32">
        <v>0</v>
      </c>
      <c r="AA32">
        <v>2</v>
      </c>
      <c r="AB32" t="s">
        <v>20</v>
      </c>
      <c r="AC32">
        <v>18</v>
      </c>
    </row>
    <row r="33" spans="1:29" x14ac:dyDescent="0.25">
      <c r="A33">
        <v>135014412</v>
      </c>
      <c r="B33">
        <v>2031585553</v>
      </c>
      <c r="C33">
        <v>130</v>
      </c>
      <c r="E33" t="s">
        <v>10</v>
      </c>
      <c r="F33" t="s">
        <v>294</v>
      </c>
      <c r="G33">
        <v>4</v>
      </c>
      <c r="H33">
        <v>4</v>
      </c>
      <c r="I33">
        <v>0</v>
      </c>
      <c r="J33">
        <v>1</v>
      </c>
      <c r="K33" t="s">
        <v>59</v>
      </c>
      <c r="L33" s="18">
        <v>0.3125</v>
      </c>
      <c r="M33" t="s">
        <v>59</v>
      </c>
      <c r="N33" s="18">
        <v>0.35416666666666669</v>
      </c>
      <c r="O33" t="s">
        <v>11</v>
      </c>
      <c r="P33" t="s">
        <v>14</v>
      </c>
      <c r="Q33" t="s">
        <v>13</v>
      </c>
      <c r="T33" s="18">
        <v>0</v>
      </c>
      <c r="W33" s="19">
        <v>0</v>
      </c>
      <c r="Y33">
        <v>0</v>
      </c>
      <c r="Z33">
        <v>0</v>
      </c>
      <c r="AA33">
        <v>2</v>
      </c>
      <c r="AB33" t="s">
        <v>20</v>
      </c>
      <c r="AC33">
        <v>18</v>
      </c>
    </row>
    <row r="34" spans="1:29" x14ac:dyDescent="0.25">
      <c r="A34">
        <v>134994624</v>
      </c>
      <c r="B34">
        <v>2031585554</v>
      </c>
      <c r="C34">
        <v>5</v>
      </c>
      <c r="E34" t="s">
        <v>10</v>
      </c>
      <c r="F34" t="s">
        <v>295</v>
      </c>
      <c r="G34">
        <v>4</v>
      </c>
      <c r="H34">
        <v>8</v>
      </c>
      <c r="I34">
        <v>0</v>
      </c>
      <c r="J34">
        <v>2</v>
      </c>
      <c r="K34" t="s">
        <v>59</v>
      </c>
      <c r="L34" s="18">
        <v>0.3125</v>
      </c>
      <c r="M34" t="s">
        <v>59</v>
      </c>
      <c r="N34" s="18">
        <v>0.39583333333333331</v>
      </c>
      <c r="O34" t="s">
        <v>11</v>
      </c>
      <c r="P34" t="s">
        <v>14</v>
      </c>
      <c r="Q34" t="s">
        <v>13</v>
      </c>
      <c r="T34" s="18">
        <v>0</v>
      </c>
      <c r="W34" s="18">
        <v>0</v>
      </c>
      <c r="Y34">
        <v>0</v>
      </c>
      <c r="Z34">
        <v>0</v>
      </c>
      <c r="AA34">
        <v>2</v>
      </c>
      <c r="AB34" t="s">
        <v>20</v>
      </c>
      <c r="AC34">
        <v>18</v>
      </c>
    </row>
    <row r="35" spans="1:29" x14ac:dyDescent="0.25">
      <c r="A35">
        <v>135016768</v>
      </c>
      <c r="B35">
        <v>2031585554</v>
      </c>
      <c r="C35">
        <v>130</v>
      </c>
      <c r="E35" t="s">
        <v>10</v>
      </c>
      <c r="F35" t="s">
        <v>296</v>
      </c>
      <c r="G35">
        <v>4</v>
      </c>
      <c r="H35">
        <v>4</v>
      </c>
      <c r="I35">
        <v>0</v>
      </c>
      <c r="J35">
        <v>1</v>
      </c>
      <c r="K35" t="s">
        <v>59</v>
      </c>
      <c r="L35" s="18">
        <v>0.3125</v>
      </c>
      <c r="M35" t="s">
        <v>59</v>
      </c>
      <c r="N35" s="18">
        <v>0.35416666666666669</v>
      </c>
      <c r="O35" t="s">
        <v>11</v>
      </c>
      <c r="P35" t="s">
        <v>14</v>
      </c>
      <c r="Q35" t="s">
        <v>13</v>
      </c>
      <c r="T35" s="18">
        <v>0</v>
      </c>
      <c r="W35" s="18">
        <v>0</v>
      </c>
      <c r="Y35">
        <v>0</v>
      </c>
      <c r="Z35">
        <v>0</v>
      </c>
      <c r="AA35">
        <v>2</v>
      </c>
      <c r="AB35" t="s">
        <v>20</v>
      </c>
      <c r="AC35">
        <v>18</v>
      </c>
    </row>
    <row r="36" spans="1:29" x14ac:dyDescent="0.25">
      <c r="L36" s="18"/>
      <c r="N36" s="18"/>
      <c r="T36" s="18"/>
      <c r="W36" s="18"/>
    </row>
    <row r="37" spans="1:29" x14ac:dyDescent="0.25">
      <c r="L37" s="18"/>
      <c r="N37" s="18"/>
      <c r="T37" s="18"/>
      <c r="W37" s="18"/>
    </row>
    <row r="38" spans="1:29" x14ac:dyDescent="0.25">
      <c r="L38" s="18"/>
      <c r="N38" s="18"/>
      <c r="T38" s="18"/>
      <c r="W38" s="18"/>
    </row>
    <row r="39" spans="1:29" x14ac:dyDescent="0.25">
      <c r="L39" s="18"/>
      <c r="N39" s="18"/>
      <c r="T39" s="18"/>
      <c r="W39" s="18"/>
    </row>
    <row r="40" spans="1:29" x14ac:dyDescent="0.25">
      <c r="L40" s="18"/>
      <c r="N40" s="18"/>
      <c r="T40" s="18"/>
      <c r="W40" s="18"/>
    </row>
    <row r="41" spans="1:29" x14ac:dyDescent="0.25">
      <c r="L41" s="18"/>
      <c r="N41" s="18"/>
      <c r="T41" s="18"/>
      <c r="W41" s="18"/>
    </row>
    <row r="42" spans="1:29" x14ac:dyDescent="0.25">
      <c r="L42" s="18"/>
      <c r="N42" s="18"/>
      <c r="T42" s="18"/>
      <c r="W42" s="19"/>
    </row>
    <row r="43" spans="1:29" x14ac:dyDescent="0.25">
      <c r="L43" s="18"/>
      <c r="N43" s="18"/>
      <c r="T43" s="18"/>
      <c r="W43" s="18"/>
    </row>
    <row r="44" spans="1:29" x14ac:dyDescent="0.25">
      <c r="L44" s="18"/>
      <c r="N44" s="18"/>
      <c r="T44" s="18"/>
      <c r="W44" s="18"/>
    </row>
    <row r="45" spans="1:29" x14ac:dyDescent="0.25">
      <c r="L45" s="18"/>
      <c r="N45" s="18"/>
      <c r="T45" s="18"/>
      <c r="W45" s="18"/>
    </row>
    <row r="46" spans="1:29" x14ac:dyDescent="0.25">
      <c r="L46" s="18"/>
      <c r="N46" s="18"/>
      <c r="T46" s="18"/>
      <c r="W46" s="19"/>
    </row>
    <row r="47" spans="1:29" x14ac:dyDescent="0.25">
      <c r="L47" s="18"/>
      <c r="N47" s="18"/>
      <c r="T47" s="18"/>
      <c r="W47" s="18"/>
    </row>
    <row r="48" spans="1:29" x14ac:dyDescent="0.25">
      <c r="L48" s="18"/>
      <c r="N48" s="18"/>
      <c r="T48" s="18"/>
      <c r="W48" s="18"/>
    </row>
    <row r="49" spans="12:23" x14ac:dyDescent="0.25">
      <c r="L49" s="18"/>
      <c r="N49" s="18"/>
      <c r="T49" s="18"/>
      <c r="W49" s="19"/>
    </row>
    <row r="50" spans="12:23" x14ac:dyDescent="0.25">
      <c r="L50" s="18"/>
      <c r="N50" s="18"/>
      <c r="T50" s="18"/>
      <c r="W50" s="19"/>
    </row>
    <row r="51" spans="12:23" x14ac:dyDescent="0.25">
      <c r="L51" s="18"/>
      <c r="N51" s="18"/>
      <c r="T51" s="18"/>
      <c r="W51" s="19"/>
    </row>
    <row r="52" spans="12:23" x14ac:dyDescent="0.25">
      <c r="L52" s="18"/>
      <c r="N52" s="18"/>
      <c r="T52" s="18"/>
      <c r="W52" s="19"/>
    </row>
    <row r="53" spans="12:23" x14ac:dyDescent="0.25">
      <c r="L53" s="18"/>
      <c r="N53" s="18"/>
      <c r="T53" s="18"/>
      <c r="W53" s="19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9BC75-9DB9-4E66-8679-31713A9285E7}">
  <sheetPr codeName="Planilha5">
    <tabColor rgb="FF00B0F0"/>
  </sheetPr>
  <dimension ref="A1:AC49"/>
  <sheetViews>
    <sheetView workbookViewId="0">
      <selection activeCell="A3" sqref="A3:AC48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0.7109375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381</v>
      </c>
    </row>
    <row r="2" spans="1:29" s="30" customFormat="1" ht="15.75" thickBot="1" x14ac:dyDescent="0.3">
      <c r="A2" s="27" t="s">
        <v>28</v>
      </c>
      <c r="B2" s="28" t="s">
        <v>27</v>
      </c>
      <c r="C2" s="28" t="s">
        <v>26</v>
      </c>
      <c r="D2" s="28" t="s">
        <v>29</v>
      </c>
      <c r="E2" s="28" t="s">
        <v>30</v>
      </c>
      <c r="F2" s="28" t="s">
        <v>31</v>
      </c>
      <c r="G2" s="28" t="s">
        <v>32</v>
      </c>
      <c r="H2" s="28" t="s">
        <v>33</v>
      </c>
      <c r="I2" s="28" t="s">
        <v>34</v>
      </c>
      <c r="J2" s="29" t="s">
        <v>35</v>
      </c>
      <c r="K2" s="31"/>
    </row>
    <row r="3" spans="1:29" x14ac:dyDescent="0.25">
      <c r="A3">
        <v>115665284</v>
      </c>
      <c r="B3">
        <v>2027874215</v>
      </c>
      <c r="C3">
        <v>50</v>
      </c>
      <c r="E3" t="s">
        <v>8</v>
      </c>
      <c r="F3" t="s">
        <v>61</v>
      </c>
      <c r="G3">
        <v>2</v>
      </c>
      <c r="H3">
        <v>2</v>
      </c>
      <c r="I3">
        <v>0</v>
      </c>
      <c r="J3">
        <v>1</v>
      </c>
      <c r="K3" t="s">
        <v>62</v>
      </c>
      <c r="L3" s="18">
        <v>4.1666666666666664E-2</v>
      </c>
      <c r="M3" t="s">
        <v>62</v>
      </c>
      <c r="N3" s="18">
        <v>8.3333333333333329E-2</v>
      </c>
      <c r="O3" t="s">
        <v>11</v>
      </c>
      <c r="P3" t="s">
        <v>14</v>
      </c>
      <c r="Q3" t="s">
        <v>13</v>
      </c>
      <c r="T3" s="18">
        <v>0</v>
      </c>
      <c r="W3" s="18">
        <v>0</v>
      </c>
      <c r="Y3">
        <v>0</v>
      </c>
      <c r="Z3">
        <v>0</v>
      </c>
      <c r="AA3">
        <v>2</v>
      </c>
      <c r="AB3" t="s">
        <v>20</v>
      </c>
      <c r="AC3">
        <v>19</v>
      </c>
    </row>
    <row r="4" spans="1:29" x14ac:dyDescent="0.25">
      <c r="A4">
        <v>115665288</v>
      </c>
      <c r="B4">
        <v>2027874215</v>
      </c>
      <c r="C4">
        <v>70</v>
      </c>
      <c r="E4" t="s">
        <v>8</v>
      </c>
      <c r="F4" t="s">
        <v>63</v>
      </c>
      <c r="G4">
        <v>2</v>
      </c>
      <c r="H4">
        <v>8</v>
      </c>
      <c r="I4">
        <v>0</v>
      </c>
      <c r="J4">
        <v>4</v>
      </c>
      <c r="K4" t="s">
        <v>62</v>
      </c>
      <c r="L4" s="18">
        <v>0.25</v>
      </c>
      <c r="M4" t="s">
        <v>62</v>
      </c>
      <c r="N4" s="18">
        <v>0.41666666666666669</v>
      </c>
      <c r="O4" t="s">
        <v>17</v>
      </c>
      <c r="P4" t="s">
        <v>14</v>
      </c>
      <c r="Q4" t="s">
        <v>13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20</v>
      </c>
      <c r="AC4">
        <v>19</v>
      </c>
    </row>
    <row r="5" spans="1:29" x14ac:dyDescent="0.25">
      <c r="A5">
        <v>115665289</v>
      </c>
      <c r="B5">
        <v>2027874215</v>
      </c>
      <c r="C5">
        <v>80</v>
      </c>
      <c r="E5" t="s">
        <v>8</v>
      </c>
      <c r="F5" t="s">
        <v>64</v>
      </c>
      <c r="G5">
        <v>2</v>
      </c>
      <c r="H5">
        <v>2</v>
      </c>
      <c r="I5">
        <v>0</v>
      </c>
      <c r="J5">
        <v>1</v>
      </c>
      <c r="K5" t="s">
        <v>62</v>
      </c>
      <c r="L5" s="18">
        <v>0.41666666666666669</v>
      </c>
      <c r="M5" t="s">
        <v>62</v>
      </c>
      <c r="N5" s="18">
        <v>0.45833333333333331</v>
      </c>
      <c r="O5" t="s">
        <v>11</v>
      </c>
      <c r="P5" t="s">
        <v>14</v>
      </c>
      <c r="Q5" t="s">
        <v>13</v>
      </c>
      <c r="T5" s="18">
        <v>0</v>
      </c>
      <c r="W5" s="18">
        <v>0</v>
      </c>
      <c r="Y5">
        <v>0</v>
      </c>
      <c r="Z5">
        <v>0</v>
      </c>
      <c r="AA5">
        <v>2</v>
      </c>
      <c r="AB5" t="s">
        <v>20</v>
      </c>
      <c r="AC5">
        <v>19</v>
      </c>
    </row>
    <row r="6" spans="1:29" x14ac:dyDescent="0.25">
      <c r="A6">
        <v>115665294</v>
      </c>
      <c r="B6">
        <v>2027874215</v>
      </c>
      <c r="C6">
        <v>100</v>
      </c>
      <c r="E6" t="s">
        <v>8</v>
      </c>
      <c r="F6" t="s">
        <v>61</v>
      </c>
      <c r="G6">
        <v>2</v>
      </c>
      <c r="H6">
        <v>2</v>
      </c>
      <c r="I6">
        <v>0</v>
      </c>
      <c r="J6">
        <v>1</v>
      </c>
      <c r="K6" t="s">
        <v>62</v>
      </c>
      <c r="L6" s="18">
        <v>0.625</v>
      </c>
      <c r="M6" t="s">
        <v>62</v>
      </c>
      <c r="N6" s="18">
        <v>0.66666666666666663</v>
      </c>
      <c r="O6" t="s">
        <v>11</v>
      </c>
      <c r="P6" t="s">
        <v>14</v>
      </c>
      <c r="Q6" t="s">
        <v>13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20</v>
      </c>
      <c r="AC6">
        <v>19</v>
      </c>
    </row>
    <row r="7" spans="1:29" x14ac:dyDescent="0.25">
      <c r="A7">
        <v>115665303</v>
      </c>
      <c r="B7">
        <v>2027874215</v>
      </c>
      <c r="C7">
        <v>160</v>
      </c>
      <c r="E7" t="s">
        <v>8</v>
      </c>
      <c r="F7" t="s">
        <v>65</v>
      </c>
      <c r="G7">
        <v>2</v>
      </c>
      <c r="H7">
        <v>8</v>
      </c>
      <c r="I7">
        <v>0</v>
      </c>
      <c r="J7">
        <v>4</v>
      </c>
      <c r="K7" t="s">
        <v>60</v>
      </c>
      <c r="L7" s="18">
        <v>0</v>
      </c>
      <c r="M7" t="s">
        <v>60</v>
      </c>
      <c r="N7" s="18">
        <v>0.16666666666666666</v>
      </c>
      <c r="O7" t="s">
        <v>17</v>
      </c>
      <c r="P7" t="s">
        <v>14</v>
      </c>
      <c r="Q7" t="s">
        <v>13</v>
      </c>
      <c r="T7" s="18">
        <v>0</v>
      </c>
      <c r="W7" s="18">
        <v>0</v>
      </c>
      <c r="Y7">
        <v>0</v>
      </c>
      <c r="Z7">
        <v>0</v>
      </c>
      <c r="AA7">
        <v>2</v>
      </c>
      <c r="AB7" t="s">
        <v>20</v>
      </c>
      <c r="AC7">
        <v>19</v>
      </c>
    </row>
    <row r="8" spans="1:29" x14ac:dyDescent="0.25">
      <c r="A8">
        <v>115668349</v>
      </c>
      <c r="B8">
        <v>2027874215</v>
      </c>
      <c r="C8">
        <v>250</v>
      </c>
      <c r="E8" t="s">
        <v>8</v>
      </c>
      <c r="F8" t="s">
        <v>66</v>
      </c>
      <c r="G8">
        <v>2</v>
      </c>
      <c r="H8">
        <v>2</v>
      </c>
      <c r="I8">
        <v>0</v>
      </c>
      <c r="J8">
        <v>1</v>
      </c>
      <c r="K8" t="s">
        <v>60</v>
      </c>
      <c r="L8" s="18">
        <v>0.70833333333333337</v>
      </c>
      <c r="M8" t="s">
        <v>60</v>
      </c>
      <c r="N8" s="18">
        <v>0.75</v>
      </c>
      <c r="O8" t="s">
        <v>11</v>
      </c>
      <c r="P8" t="s">
        <v>14</v>
      </c>
      <c r="Q8" t="s">
        <v>13</v>
      </c>
      <c r="T8" s="18">
        <v>0</v>
      </c>
      <c r="W8" s="18">
        <v>0</v>
      </c>
      <c r="Y8">
        <v>0</v>
      </c>
      <c r="Z8">
        <v>0</v>
      </c>
      <c r="AA8">
        <v>2</v>
      </c>
      <c r="AB8" t="s">
        <v>20</v>
      </c>
      <c r="AC8">
        <v>19</v>
      </c>
    </row>
    <row r="9" spans="1:29" x14ac:dyDescent="0.25">
      <c r="A9">
        <v>115668362</v>
      </c>
      <c r="B9">
        <v>2027874216</v>
      </c>
      <c r="C9">
        <v>50</v>
      </c>
      <c r="E9" t="s">
        <v>8</v>
      </c>
      <c r="F9" t="s">
        <v>67</v>
      </c>
      <c r="G9">
        <v>2</v>
      </c>
      <c r="H9">
        <v>2</v>
      </c>
      <c r="I9">
        <v>0</v>
      </c>
      <c r="J9">
        <v>1</v>
      </c>
      <c r="K9" t="s">
        <v>62</v>
      </c>
      <c r="L9" s="18">
        <v>0.625</v>
      </c>
      <c r="M9" t="s">
        <v>62</v>
      </c>
      <c r="N9" s="18">
        <v>0.66666666666666663</v>
      </c>
      <c r="O9" t="s">
        <v>11</v>
      </c>
      <c r="P9" t="s">
        <v>16</v>
      </c>
      <c r="Q9" t="s">
        <v>13</v>
      </c>
      <c r="T9" s="18">
        <v>0</v>
      </c>
      <c r="W9" s="19">
        <v>0</v>
      </c>
      <c r="Y9">
        <v>0</v>
      </c>
      <c r="Z9">
        <v>0</v>
      </c>
      <c r="AA9">
        <v>2</v>
      </c>
      <c r="AB9" t="s">
        <v>20</v>
      </c>
      <c r="AC9">
        <v>19</v>
      </c>
    </row>
    <row r="10" spans="1:29" x14ac:dyDescent="0.25">
      <c r="A10">
        <v>115668368</v>
      </c>
      <c r="B10">
        <v>2027874216</v>
      </c>
      <c r="C10">
        <v>70</v>
      </c>
      <c r="E10" t="s">
        <v>8</v>
      </c>
      <c r="F10" t="s">
        <v>68</v>
      </c>
      <c r="G10">
        <v>2</v>
      </c>
      <c r="H10">
        <v>8</v>
      </c>
      <c r="I10">
        <v>0</v>
      </c>
      <c r="J10">
        <v>4</v>
      </c>
      <c r="K10" t="s">
        <v>62</v>
      </c>
      <c r="L10" s="18">
        <v>0.83333333333333337</v>
      </c>
      <c r="M10" t="s">
        <v>62</v>
      </c>
      <c r="N10" s="18">
        <v>1</v>
      </c>
      <c r="O10" t="s">
        <v>11</v>
      </c>
      <c r="P10" t="s">
        <v>16</v>
      </c>
      <c r="Q10" t="s">
        <v>13</v>
      </c>
      <c r="T10" s="18">
        <v>0</v>
      </c>
      <c r="W10" s="19">
        <v>0</v>
      </c>
      <c r="Y10">
        <v>0</v>
      </c>
      <c r="Z10">
        <v>0</v>
      </c>
      <c r="AA10">
        <v>2</v>
      </c>
      <c r="AB10" t="s">
        <v>20</v>
      </c>
      <c r="AC10">
        <v>19</v>
      </c>
    </row>
    <row r="11" spans="1:29" x14ac:dyDescent="0.25">
      <c r="A11">
        <v>115668369</v>
      </c>
      <c r="B11">
        <v>2027874216</v>
      </c>
      <c r="C11">
        <v>80</v>
      </c>
      <c r="E11" t="s">
        <v>8</v>
      </c>
      <c r="F11" t="s">
        <v>69</v>
      </c>
      <c r="G11">
        <v>2</v>
      </c>
      <c r="H11">
        <v>2</v>
      </c>
      <c r="I11">
        <v>0</v>
      </c>
      <c r="J11">
        <v>1</v>
      </c>
      <c r="K11" t="s">
        <v>60</v>
      </c>
      <c r="L11" s="18">
        <v>0</v>
      </c>
      <c r="M11" t="s">
        <v>60</v>
      </c>
      <c r="N11" s="18">
        <v>4.1666666666666664E-2</v>
      </c>
      <c r="O11" t="s">
        <v>11</v>
      </c>
      <c r="P11" t="s">
        <v>16</v>
      </c>
      <c r="Q11" t="s">
        <v>13</v>
      </c>
      <c r="T11" s="18">
        <v>0</v>
      </c>
      <c r="W11" s="19">
        <v>0</v>
      </c>
      <c r="Y11">
        <v>0</v>
      </c>
      <c r="Z11">
        <v>0</v>
      </c>
      <c r="AA11">
        <v>2</v>
      </c>
      <c r="AB11" t="s">
        <v>20</v>
      </c>
      <c r="AC11">
        <v>19</v>
      </c>
    </row>
    <row r="12" spans="1:29" x14ac:dyDescent="0.25">
      <c r="A12">
        <v>115668375</v>
      </c>
      <c r="B12">
        <v>2027874216</v>
      </c>
      <c r="C12">
        <v>100</v>
      </c>
      <c r="E12" t="s">
        <v>8</v>
      </c>
      <c r="F12" t="s">
        <v>67</v>
      </c>
      <c r="G12">
        <v>2</v>
      </c>
      <c r="H12">
        <v>2</v>
      </c>
      <c r="I12">
        <v>0</v>
      </c>
      <c r="J12">
        <v>1</v>
      </c>
      <c r="K12" t="s">
        <v>60</v>
      </c>
      <c r="L12" s="18">
        <v>0.20833333333333334</v>
      </c>
      <c r="M12" t="s">
        <v>60</v>
      </c>
      <c r="N12" s="18">
        <v>0.25</v>
      </c>
      <c r="O12" t="s">
        <v>11</v>
      </c>
      <c r="P12" t="s">
        <v>14</v>
      </c>
      <c r="Q12" t="s">
        <v>13</v>
      </c>
      <c r="T12" s="18">
        <v>0</v>
      </c>
      <c r="W12" s="19">
        <v>0</v>
      </c>
      <c r="Y12">
        <v>0</v>
      </c>
      <c r="Z12">
        <v>0</v>
      </c>
      <c r="AA12">
        <v>2</v>
      </c>
      <c r="AB12" t="s">
        <v>20</v>
      </c>
      <c r="AC12">
        <v>19</v>
      </c>
    </row>
    <row r="13" spans="1:29" x14ac:dyDescent="0.25">
      <c r="A13">
        <v>115668385</v>
      </c>
      <c r="B13">
        <v>2027874216</v>
      </c>
      <c r="C13">
        <v>160</v>
      </c>
      <c r="E13" t="s">
        <v>8</v>
      </c>
      <c r="F13" t="s">
        <v>70</v>
      </c>
      <c r="G13">
        <v>2</v>
      </c>
      <c r="H13">
        <v>8</v>
      </c>
      <c r="I13">
        <v>0</v>
      </c>
      <c r="J13">
        <v>4</v>
      </c>
      <c r="K13" t="s">
        <v>60</v>
      </c>
      <c r="L13" s="18">
        <v>0.58333333333333337</v>
      </c>
      <c r="M13" t="s">
        <v>60</v>
      </c>
      <c r="N13" s="18">
        <v>0.75</v>
      </c>
      <c r="O13" t="s">
        <v>17</v>
      </c>
      <c r="P13" t="s">
        <v>14</v>
      </c>
      <c r="Q13" t="s">
        <v>13</v>
      </c>
      <c r="T13" s="18">
        <v>0</v>
      </c>
      <c r="W13" s="19">
        <v>0</v>
      </c>
      <c r="Y13">
        <v>0</v>
      </c>
      <c r="Z13">
        <v>0</v>
      </c>
      <c r="AA13">
        <v>2</v>
      </c>
      <c r="AB13" t="s">
        <v>20</v>
      </c>
      <c r="AC13">
        <v>19</v>
      </c>
    </row>
    <row r="14" spans="1:29" x14ac:dyDescent="0.25">
      <c r="A14">
        <v>115668394</v>
      </c>
      <c r="B14">
        <v>2027874216</v>
      </c>
      <c r="C14">
        <v>250</v>
      </c>
      <c r="E14" t="s">
        <v>8</v>
      </c>
      <c r="F14" t="s">
        <v>71</v>
      </c>
      <c r="G14">
        <v>2</v>
      </c>
      <c r="H14">
        <v>2</v>
      </c>
      <c r="I14">
        <v>0</v>
      </c>
      <c r="J14">
        <v>1</v>
      </c>
      <c r="K14" t="s">
        <v>72</v>
      </c>
      <c r="L14" s="18">
        <v>0.29166666666666669</v>
      </c>
      <c r="M14" t="s">
        <v>72</v>
      </c>
      <c r="N14" s="18">
        <v>0.33333333333333331</v>
      </c>
      <c r="O14" t="s">
        <v>11</v>
      </c>
      <c r="P14" t="s">
        <v>14</v>
      </c>
      <c r="Q14" t="s">
        <v>13</v>
      </c>
      <c r="T14" s="18">
        <v>0</v>
      </c>
      <c r="W14" s="18">
        <v>0</v>
      </c>
      <c r="Y14">
        <v>0</v>
      </c>
      <c r="Z14">
        <v>0</v>
      </c>
      <c r="AA14">
        <v>2</v>
      </c>
      <c r="AB14" t="s">
        <v>20</v>
      </c>
      <c r="AC14">
        <v>19</v>
      </c>
    </row>
    <row r="15" spans="1:29" x14ac:dyDescent="0.25">
      <c r="A15">
        <v>133889605</v>
      </c>
      <c r="B15">
        <v>2030425870</v>
      </c>
      <c r="C15">
        <v>6200</v>
      </c>
      <c r="D15">
        <v>10</v>
      </c>
      <c r="E15" t="s">
        <v>8</v>
      </c>
      <c r="F15" t="s">
        <v>79</v>
      </c>
      <c r="G15">
        <v>2</v>
      </c>
      <c r="H15">
        <v>6</v>
      </c>
      <c r="I15">
        <v>0</v>
      </c>
      <c r="J15">
        <v>3</v>
      </c>
      <c r="K15" t="s">
        <v>59</v>
      </c>
      <c r="L15" s="18">
        <v>0.125</v>
      </c>
      <c r="M15" t="s">
        <v>59</v>
      </c>
      <c r="N15" s="18">
        <v>0.25</v>
      </c>
      <c r="O15" t="s">
        <v>11</v>
      </c>
      <c r="P15" t="s">
        <v>14</v>
      </c>
      <c r="Q15" t="s">
        <v>13</v>
      </c>
      <c r="T15" s="18">
        <v>0</v>
      </c>
      <c r="W15" s="18">
        <v>0</v>
      </c>
      <c r="Y15">
        <v>0</v>
      </c>
      <c r="Z15">
        <v>0</v>
      </c>
      <c r="AA15">
        <v>1</v>
      </c>
      <c r="AB15" t="s">
        <v>20</v>
      </c>
      <c r="AC15">
        <v>19</v>
      </c>
    </row>
    <row r="16" spans="1:29" x14ac:dyDescent="0.25">
      <c r="A16">
        <v>135021310</v>
      </c>
      <c r="B16">
        <v>2030707957</v>
      </c>
      <c r="C16">
        <v>360</v>
      </c>
      <c r="E16" t="s">
        <v>8</v>
      </c>
      <c r="F16" t="s">
        <v>46</v>
      </c>
      <c r="G16">
        <v>2</v>
      </c>
      <c r="H16">
        <v>4</v>
      </c>
      <c r="I16">
        <v>0</v>
      </c>
      <c r="J16">
        <v>2</v>
      </c>
      <c r="K16" t="s">
        <v>59</v>
      </c>
      <c r="L16" s="18">
        <v>0.3125</v>
      </c>
      <c r="M16" t="s">
        <v>59</v>
      </c>
      <c r="N16" s="18">
        <v>0.39583333333333331</v>
      </c>
      <c r="O16" t="s">
        <v>11</v>
      </c>
      <c r="P16" t="s">
        <v>14</v>
      </c>
      <c r="Q16" t="s">
        <v>13</v>
      </c>
      <c r="T16" s="18">
        <v>0</v>
      </c>
      <c r="W16" s="18">
        <v>0</v>
      </c>
      <c r="Y16">
        <v>0</v>
      </c>
      <c r="Z16">
        <v>0</v>
      </c>
      <c r="AC16">
        <v>19</v>
      </c>
    </row>
    <row r="17" spans="1:29" x14ac:dyDescent="0.25">
      <c r="A17">
        <v>130515416</v>
      </c>
      <c r="B17">
        <v>2030732032</v>
      </c>
      <c r="C17">
        <v>2900</v>
      </c>
      <c r="E17" t="s">
        <v>8</v>
      </c>
      <c r="F17" t="s">
        <v>80</v>
      </c>
      <c r="G17">
        <v>2</v>
      </c>
      <c r="H17">
        <v>4</v>
      </c>
      <c r="I17">
        <v>0</v>
      </c>
      <c r="J17">
        <v>2</v>
      </c>
      <c r="K17" t="s">
        <v>59</v>
      </c>
      <c r="L17" s="18">
        <v>0.125</v>
      </c>
      <c r="M17" t="s">
        <v>59</v>
      </c>
      <c r="N17" s="18">
        <v>0.20833333333333334</v>
      </c>
      <c r="O17" t="s">
        <v>55</v>
      </c>
      <c r="P17" t="s">
        <v>14</v>
      </c>
      <c r="Q17" t="s">
        <v>13</v>
      </c>
      <c r="T17" s="18">
        <v>0</v>
      </c>
      <c r="W17" s="18">
        <v>0</v>
      </c>
      <c r="Y17">
        <v>0</v>
      </c>
      <c r="Z17">
        <v>0</v>
      </c>
      <c r="AA17">
        <v>1</v>
      </c>
      <c r="AB17" t="s">
        <v>20</v>
      </c>
      <c r="AC17">
        <v>19</v>
      </c>
    </row>
    <row r="18" spans="1:29" x14ac:dyDescent="0.25">
      <c r="A18">
        <v>130515417</v>
      </c>
      <c r="B18">
        <v>2030732032</v>
      </c>
      <c r="C18">
        <v>2910</v>
      </c>
      <c r="E18" t="s">
        <v>8</v>
      </c>
      <c r="F18" t="s">
        <v>81</v>
      </c>
      <c r="G18">
        <v>2</v>
      </c>
      <c r="H18">
        <v>12</v>
      </c>
      <c r="I18">
        <v>0</v>
      </c>
      <c r="J18">
        <v>6</v>
      </c>
      <c r="K18" t="s">
        <v>59</v>
      </c>
      <c r="L18" s="18">
        <v>0.20833333333333334</v>
      </c>
      <c r="M18" t="s">
        <v>59</v>
      </c>
      <c r="N18" s="18">
        <v>0.45833333333333331</v>
      </c>
      <c r="O18" t="s">
        <v>17</v>
      </c>
      <c r="P18" t="s">
        <v>14</v>
      </c>
      <c r="Q18" t="s">
        <v>13</v>
      </c>
      <c r="T18" s="18">
        <v>0</v>
      </c>
      <c r="W18" s="18">
        <v>0</v>
      </c>
      <c r="Y18">
        <v>0</v>
      </c>
      <c r="Z18">
        <v>0</v>
      </c>
      <c r="AA18">
        <v>1</v>
      </c>
      <c r="AB18" t="s">
        <v>20</v>
      </c>
      <c r="AC18">
        <v>19</v>
      </c>
    </row>
    <row r="19" spans="1:29" x14ac:dyDescent="0.25">
      <c r="A19">
        <v>130521696</v>
      </c>
      <c r="B19">
        <v>2030732032</v>
      </c>
      <c r="C19">
        <v>3050</v>
      </c>
      <c r="E19" t="s">
        <v>8</v>
      </c>
      <c r="F19" t="s">
        <v>82</v>
      </c>
      <c r="G19">
        <v>2</v>
      </c>
      <c r="H19">
        <v>4</v>
      </c>
      <c r="I19">
        <v>0</v>
      </c>
      <c r="J19">
        <v>2</v>
      </c>
      <c r="K19" t="s">
        <v>59</v>
      </c>
      <c r="L19" s="18">
        <v>0.25</v>
      </c>
      <c r="M19" t="s">
        <v>59</v>
      </c>
      <c r="N19" s="18">
        <v>0.33333333333333331</v>
      </c>
      <c r="O19" t="s">
        <v>55</v>
      </c>
      <c r="P19" t="s">
        <v>14</v>
      </c>
      <c r="Q19" t="s">
        <v>13</v>
      </c>
      <c r="T19" s="18">
        <v>0</v>
      </c>
      <c r="W19" s="18">
        <v>0</v>
      </c>
      <c r="Y19">
        <v>0</v>
      </c>
      <c r="Z19">
        <v>0</v>
      </c>
      <c r="AA19">
        <v>1</v>
      </c>
      <c r="AB19" t="s">
        <v>20</v>
      </c>
      <c r="AC19">
        <v>19</v>
      </c>
    </row>
    <row r="20" spans="1:29" x14ac:dyDescent="0.25">
      <c r="A20">
        <v>130521697</v>
      </c>
      <c r="B20">
        <v>2030732032</v>
      </c>
      <c r="C20">
        <v>3060</v>
      </c>
      <c r="E20" t="s">
        <v>8</v>
      </c>
      <c r="F20" t="s">
        <v>83</v>
      </c>
      <c r="G20">
        <v>2</v>
      </c>
      <c r="H20">
        <v>12</v>
      </c>
      <c r="I20">
        <v>0</v>
      </c>
      <c r="J20">
        <v>6</v>
      </c>
      <c r="K20" t="s">
        <v>59</v>
      </c>
      <c r="L20" s="18">
        <v>0.33333333333333331</v>
      </c>
      <c r="M20" t="s">
        <v>59</v>
      </c>
      <c r="N20" s="18">
        <v>0.58333333333333337</v>
      </c>
      <c r="O20" t="s">
        <v>17</v>
      </c>
      <c r="P20" t="s">
        <v>14</v>
      </c>
      <c r="Q20" t="s">
        <v>13</v>
      </c>
      <c r="T20" s="18">
        <v>0</v>
      </c>
      <c r="W20" s="18">
        <v>0</v>
      </c>
      <c r="Y20">
        <v>0</v>
      </c>
      <c r="Z20">
        <v>0</v>
      </c>
      <c r="AA20">
        <v>1</v>
      </c>
      <c r="AB20" t="s">
        <v>20</v>
      </c>
      <c r="AC20">
        <v>19</v>
      </c>
    </row>
    <row r="21" spans="1:29" x14ac:dyDescent="0.25">
      <c r="A21">
        <v>131755151</v>
      </c>
      <c r="B21">
        <v>2031053400</v>
      </c>
      <c r="C21">
        <v>20</v>
      </c>
      <c r="E21" t="s">
        <v>8</v>
      </c>
      <c r="F21" t="s">
        <v>21</v>
      </c>
      <c r="G21">
        <v>2</v>
      </c>
      <c r="H21">
        <v>8</v>
      </c>
      <c r="I21">
        <v>0</v>
      </c>
      <c r="J21">
        <v>4</v>
      </c>
      <c r="K21" t="s">
        <v>59</v>
      </c>
      <c r="L21" s="18">
        <v>0.3125</v>
      </c>
      <c r="M21" t="s">
        <v>59</v>
      </c>
      <c r="N21" s="18">
        <v>0.47916666666666669</v>
      </c>
      <c r="O21" t="s">
        <v>11</v>
      </c>
      <c r="P21" t="s">
        <v>14</v>
      </c>
      <c r="Q21" t="s">
        <v>13</v>
      </c>
      <c r="T21" s="18">
        <v>0</v>
      </c>
      <c r="W21" s="18">
        <v>1</v>
      </c>
      <c r="Y21">
        <v>0</v>
      </c>
      <c r="Z21">
        <v>0</v>
      </c>
      <c r="AC21">
        <v>19</v>
      </c>
    </row>
    <row r="22" spans="1:29" x14ac:dyDescent="0.25">
      <c r="A22">
        <v>134998430</v>
      </c>
      <c r="B22">
        <v>2031111330</v>
      </c>
      <c r="C22">
        <v>300</v>
      </c>
      <c r="D22">
        <v>20</v>
      </c>
      <c r="E22" t="s">
        <v>8</v>
      </c>
      <c r="F22" t="s">
        <v>86</v>
      </c>
      <c r="G22">
        <v>2</v>
      </c>
      <c r="H22">
        <v>6</v>
      </c>
      <c r="I22">
        <v>0</v>
      </c>
      <c r="J22">
        <v>3</v>
      </c>
      <c r="K22" t="s">
        <v>60</v>
      </c>
      <c r="L22" s="18">
        <v>0.62083333333333335</v>
      </c>
      <c r="M22" t="s">
        <v>60</v>
      </c>
      <c r="N22" s="18">
        <v>0.72083333333333333</v>
      </c>
      <c r="O22" t="s">
        <v>11</v>
      </c>
      <c r="P22" t="s">
        <v>14</v>
      </c>
      <c r="Q22" t="s">
        <v>13</v>
      </c>
      <c r="T22" s="18">
        <v>0</v>
      </c>
      <c r="W22" s="18">
        <v>0</v>
      </c>
      <c r="Y22">
        <v>0</v>
      </c>
      <c r="Z22">
        <v>0</v>
      </c>
      <c r="AA22">
        <v>1</v>
      </c>
      <c r="AB22" t="s">
        <v>20</v>
      </c>
      <c r="AC22">
        <v>19</v>
      </c>
    </row>
    <row r="23" spans="1:29" x14ac:dyDescent="0.25">
      <c r="A23">
        <v>134624728</v>
      </c>
      <c r="B23">
        <v>2031111330</v>
      </c>
      <c r="C23">
        <v>350</v>
      </c>
      <c r="D23">
        <v>30</v>
      </c>
      <c r="E23" t="s">
        <v>8</v>
      </c>
      <c r="F23" t="s">
        <v>87</v>
      </c>
      <c r="G23">
        <v>2</v>
      </c>
      <c r="H23">
        <v>2</v>
      </c>
      <c r="I23">
        <v>0</v>
      </c>
      <c r="J23">
        <v>1</v>
      </c>
      <c r="K23" t="s">
        <v>88</v>
      </c>
      <c r="L23" s="18">
        <v>0.5541666666666667</v>
      </c>
      <c r="M23" t="s">
        <v>88</v>
      </c>
      <c r="N23" s="18">
        <v>0.58750000000000002</v>
      </c>
      <c r="O23" t="s">
        <v>11</v>
      </c>
      <c r="P23" t="s">
        <v>14</v>
      </c>
      <c r="Q23" t="s">
        <v>13</v>
      </c>
      <c r="T23" s="18">
        <v>0</v>
      </c>
      <c r="W23" s="18">
        <v>0</v>
      </c>
      <c r="Y23">
        <v>0</v>
      </c>
      <c r="Z23">
        <v>0</v>
      </c>
      <c r="AA23">
        <v>1</v>
      </c>
      <c r="AB23" t="s">
        <v>20</v>
      </c>
      <c r="AC23">
        <v>19</v>
      </c>
    </row>
    <row r="24" spans="1:29" x14ac:dyDescent="0.25">
      <c r="A24">
        <v>134998432</v>
      </c>
      <c r="B24">
        <v>2031111330</v>
      </c>
      <c r="C24">
        <v>320</v>
      </c>
      <c r="E24" t="s">
        <v>8</v>
      </c>
      <c r="F24" t="s">
        <v>89</v>
      </c>
      <c r="G24">
        <v>4</v>
      </c>
      <c r="H24">
        <v>24</v>
      </c>
      <c r="I24">
        <v>0</v>
      </c>
      <c r="J24">
        <v>6</v>
      </c>
      <c r="K24" t="s">
        <v>72</v>
      </c>
      <c r="L24" s="18">
        <v>0.37083333333333335</v>
      </c>
      <c r="M24" t="s">
        <v>72</v>
      </c>
      <c r="N24" s="18">
        <v>0.61250000000000004</v>
      </c>
      <c r="O24" t="s">
        <v>11</v>
      </c>
      <c r="P24" t="s">
        <v>14</v>
      </c>
      <c r="Q24" t="s">
        <v>13</v>
      </c>
      <c r="T24" s="18">
        <v>0</v>
      </c>
      <c r="W24" s="18">
        <v>0</v>
      </c>
      <c r="Y24">
        <v>0</v>
      </c>
      <c r="Z24">
        <v>0</v>
      </c>
      <c r="AA24">
        <v>1</v>
      </c>
      <c r="AB24" t="s">
        <v>20</v>
      </c>
      <c r="AC24">
        <v>19</v>
      </c>
    </row>
    <row r="25" spans="1:29" x14ac:dyDescent="0.25">
      <c r="A25">
        <v>134624724</v>
      </c>
      <c r="B25">
        <v>2031111330</v>
      </c>
      <c r="C25">
        <v>340</v>
      </c>
      <c r="E25" t="s">
        <v>8</v>
      </c>
      <c r="F25" t="s">
        <v>90</v>
      </c>
      <c r="G25">
        <v>2</v>
      </c>
      <c r="H25">
        <v>12</v>
      </c>
      <c r="I25">
        <v>0</v>
      </c>
      <c r="J25">
        <v>6</v>
      </c>
      <c r="K25" t="s">
        <v>88</v>
      </c>
      <c r="L25" s="18">
        <v>0.3125</v>
      </c>
      <c r="M25" t="s">
        <v>88</v>
      </c>
      <c r="N25" s="18">
        <v>0.5541666666666667</v>
      </c>
      <c r="O25" t="s">
        <v>11</v>
      </c>
      <c r="P25" t="s">
        <v>14</v>
      </c>
      <c r="Q25" t="s">
        <v>13</v>
      </c>
      <c r="T25" s="18">
        <v>0</v>
      </c>
      <c r="W25" s="18">
        <v>0</v>
      </c>
      <c r="Y25">
        <v>0</v>
      </c>
      <c r="Z25">
        <v>0</v>
      </c>
      <c r="AA25">
        <v>1</v>
      </c>
      <c r="AB25" t="s">
        <v>20</v>
      </c>
      <c r="AC25">
        <v>19</v>
      </c>
    </row>
    <row r="26" spans="1:29" x14ac:dyDescent="0.25">
      <c r="A26">
        <v>132122941</v>
      </c>
      <c r="B26">
        <v>2031111970</v>
      </c>
      <c r="C26">
        <v>10</v>
      </c>
      <c r="E26" t="s">
        <v>8</v>
      </c>
      <c r="F26" t="s">
        <v>91</v>
      </c>
      <c r="G26">
        <v>2</v>
      </c>
      <c r="H26">
        <v>12</v>
      </c>
      <c r="I26">
        <v>0</v>
      </c>
      <c r="J26">
        <v>6</v>
      </c>
      <c r="K26" t="s">
        <v>72</v>
      </c>
      <c r="L26" s="18">
        <v>0.66249999999999998</v>
      </c>
      <c r="M26" t="s">
        <v>88</v>
      </c>
      <c r="N26" s="18">
        <v>0.44583333333333336</v>
      </c>
      <c r="O26" t="s">
        <v>11</v>
      </c>
      <c r="P26" t="s">
        <v>14</v>
      </c>
      <c r="Q26" t="s">
        <v>13</v>
      </c>
      <c r="T26" s="18">
        <v>0</v>
      </c>
      <c r="W26" s="18">
        <v>1</v>
      </c>
      <c r="Y26">
        <v>0</v>
      </c>
      <c r="Z26">
        <v>0</v>
      </c>
      <c r="AC26">
        <v>19</v>
      </c>
    </row>
    <row r="27" spans="1:29" x14ac:dyDescent="0.25">
      <c r="A27">
        <v>133107771</v>
      </c>
      <c r="B27">
        <v>2031240660</v>
      </c>
      <c r="C27">
        <v>410</v>
      </c>
      <c r="D27">
        <v>10</v>
      </c>
      <c r="E27" t="s">
        <v>8</v>
      </c>
      <c r="F27" t="s">
        <v>48</v>
      </c>
      <c r="G27">
        <v>1</v>
      </c>
      <c r="H27">
        <v>4</v>
      </c>
      <c r="I27">
        <v>0</v>
      </c>
      <c r="J27">
        <v>4</v>
      </c>
      <c r="K27" t="s">
        <v>62</v>
      </c>
      <c r="L27" s="18">
        <v>0.33750000000000002</v>
      </c>
      <c r="M27" t="s">
        <v>62</v>
      </c>
      <c r="N27" s="18">
        <v>0.47083333333333333</v>
      </c>
      <c r="O27" t="s">
        <v>11</v>
      </c>
      <c r="P27" t="s">
        <v>14</v>
      </c>
      <c r="Q27" t="s">
        <v>13</v>
      </c>
      <c r="T27" s="18">
        <v>0</v>
      </c>
      <c r="W27" s="18">
        <v>0</v>
      </c>
      <c r="Y27">
        <v>0</v>
      </c>
      <c r="Z27">
        <v>0</v>
      </c>
      <c r="AA27">
        <v>2</v>
      </c>
      <c r="AB27" t="s">
        <v>20</v>
      </c>
      <c r="AC27">
        <v>19</v>
      </c>
    </row>
    <row r="28" spans="1:29" x14ac:dyDescent="0.25">
      <c r="A28">
        <v>133107775</v>
      </c>
      <c r="B28">
        <v>2031240660</v>
      </c>
      <c r="C28">
        <v>450</v>
      </c>
      <c r="D28">
        <v>10</v>
      </c>
      <c r="E28" t="s">
        <v>8</v>
      </c>
      <c r="F28" t="s">
        <v>48</v>
      </c>
      <c r="G28">
        <v>1</v>
      </c>
      <c r="H28">
        <v>2</v>
      </c>
      <c r="I28">
        <v>0</v>
      </c>
      <c r="J28">
        <v>2</v>
      </c>
      <c r="K28" t="s">
        <v>59</v>
      </c>
      <c r="L28" s="18">
        <v>0.45250000000000001</v>
      </c>
      <c r="M28" t="s">
        <v>59</v>
      </c>
      <c r="N28" s="18">
        <v>0.56083333333333329</v>
      </c>
      <c r="O28" t="s">
        <v>11</v>
      </c>
      <c r="P28" t="s">
        <v>14</v>
      </c>
      <c r="Q28" t="s">
        <v>13</v>
      </c>
      <c r="T28" s="18">
        <v>0</v>
      </c>
      <c r="W28" s="18">
        <v>0</v>
      </c>
      <c r="Y28">
        <v>0</v>
      </c>
      <c r="Z28">
        <v>0</v>
      </c>
      <c r="AA28">
        <v>2</v>
      </c>
      <c r="AB28" t="s">
        <v>20</v>
      </c>
      <c r="AC28">
        <v>19</v>
      </c>
    </row>
    <row r="29" spans="1:29" x14ac:dyDescent="0.25">
      <c r="A29">
        <v>133107770</v>
      </c>
      <c r="B29">
        <v>2031240660</v>
      </c>
      <c r="C29">
        <v>410</v>
      </c>
      <c r="E29" t="s">
        <v>8</v>
      </c>
      <c r="F29" t="s">
        <v>49</v>
      </c>
      <c r="G29">
        <v>2</v>
      </c>
      <c r="H29">
        <v>8</v>
      </c>
      <c r="I29">
        <v>0</v>
      </c>
      <c r="J29">
        <v>4</v>
      </c>
      <c r="K29" t="s">
        <v>62</v>
      </c>
      <c r="L29" s="18">
        <v>0.33750000000000002</v>
      </c>
      <c r="M29" t="s">
        <v>62</v>
      </c>
      <c r="N29" s="18">
        <v>0.47083333333333333</v>
      </c>
      <c r="O29" t="s">
        <v>11</v>
      </c>
      <c r="P29" t="s">
        <v>14</v>
      </c>
      <c r="Q29" t="s">
        <v>13</v>
      </c>
      <c r="T29" s="18">
        <v>0</v>
      </c>
      <c r="W29" s="18">
        <v>0</v>
      </c>
      <c r="Y29">
        <v>0</v>
      </c>
      <c r="Z29">
        <v>0</v>
      </c>
      <c r="AA29">
        <v>2</v>
      </c>
      <c r="AB29" t="s">
        <v>20</v>
      </c>
      <c r="AC29">
        <v>19</v>
      </c>
    </row>
    <row r="30" spans="1:29" x14ac:dyDescent="0.25">
      <c r="A30">
        <v>133107773</v>
      </c>
      <c r="B30">
        <v>2031240660</v>
      </c>
      <c r="C30">
        <v>440</v>
      </c>
      <c r="E30" t="s">
        <v>8</v>
      </c>
      <c r="F30" t="s">
        <v>48</v>
      </c>
      <c r="G30">
        <v>1</v>
      </c>
      <c r="H30">
        <v>6</v>
      </c>
      <c r="I30">
        <v>0</v>
      </c>
      <c r="J30">
        <v>6</v>
      </c>
      <c r="K30" t="s">
        <v>62</v>
      </c>
      <c r="L30" s="18">
        <v>0.33750000000000002</v>
      </c>
      <c r="M30" t="s">
        <v>62</v>
      </c>
      <c r="N30" s="18">
        <v>0.57916666666666672</v>
      </c>
      <c r="O30" t="s">
        <v>11</v>
      </c>
      <c r="P30" t="s">
        <v>14</v>
      </c>
      <c r="Q30" t="s">
        <v>13</v>
      </c>
      <c r="T30" s="18">
        <v>0</v>
      </c>
      <c r="W30" s="19">
        <v>0</v>
      </c>
      <c r="Y30">
        <v>0</v>
      </c>
      <c r="Z30">
        <v>0</v>
      </c>
      <c r="AA30">
        <v>2</v>
      </c>
      <c r="AB30" t="s">
        <v>20</v>
      </c>
      <c r="AC30">
        <v>19</v>
      </c>
    </row>
    <row r="31" spans="1:29" x14ac:dyDescent="0.25">
      <c r="A31">
        <v>133107776</v>
      </c>
      <c r="B31">
        <v>2031240660</v>
      </c>
      <c r="C31">
        <v>470</v>
      </c>
      <c r="E31" t="s">
        <v>8</v>
      </c>
      <c r="F31" t="s">
        <v>50</v>
      </c>
      <c r="G31">
        <v>2</v>
      </c>
      <c r="H31">
        <v>4</v>
      </c>
      <c r="I31">
        <v>0</v>
      </c>
      <c r="J31">
        <v>2</v>
      </c>
      <c r="K31" t="s">
        <v>59</v>
      </c>
      <c r="L31" s="18">
        <v>0.31914351851851852</v>
      </c>
      <c r="M31" t="s">
        <v>59</v>
      </c>
      <c r="N31" s="18">
        <v>0.38581018518518517</v>
      </c>
      <c r="O31" t="s">
        <v>11</v>
      </c>
      <c r="P31" t="s">
        <v>14</v>
      </c>
      <c r="Q31" t="s">
        <v>13</v>
      </c>
      <c r="T31" s="18">
        <v>0</v>
      </c>
      <c r="W31" s="18">
        <v>0</v>
      </c>
      <c r="Y31">
        <v>0</v>
      </c>
      <c r="Z31">
        <v>0</v>
      </c>
      <c r="AA31">
        <v>2</v>
      </c>
      <c r="AB31" t="s">
        <v>20</v>
      </c>
      <c r="AC31">
        <v>19</v>
      </c>
    </row>
    <row r="32" spans="1:29" x14ac:dyDescent="0.25">
      <c r="A32">
        <v>133425173</v>
      </c>
      <c r="B32">
        <v>2031265635</v>
      </c>
      <c r="C32">
        <v>280</v>
      </c>
      <c r="E32" t="s">
        <v>8</v>
      </c>
      <c r="F32" t="s">
        <v>51</v>
      </c>
      <c r="G32">
        <v>2</v>
      </c>
      <c r="H32">
        <v>24</v>
      </c>
      <c r="I32">
        <v>0</v>
      </c>
      <c r="J32">
        <v>12</v>
      </c>
      <c r="K32" t="s">
        <v>62</v>
      </c>
      <c r="L32" s="18">
        <v>0.33750000000000002</v>
      </c>
      <c r="M32" t="s">
        <v>60</v>
      </c>
      <c r="N32" s="18">
        <v>0.36249999999999999</v>
      </c>
      <c r="O32" t="s">
        <v>40</v>
      </c>
      <c r="P32" t="s">
        <v>12</v>
      </c>
      <c r="Q32" t="s">
        <v>13</v>
      </c>
      <c r="T32" s="18">
        <v>0</v>
      </c>
      <c r="W32" s="18">
        <v>0</v>
      </c>
      <c r="Y32">
        <v>0</v>
      </c>
      <c r="Z32">
        <v>0</v>
      </c>
      <c r="AB32" t="s">
        <v>20</v>
      </c>
      <c r="AC32">
        <v>19</v>
      </c>
    </row>
    <row r="33" spans="1:29" x14ac:dyDescent="0.25">
      <c r="A33">
        <v>133444090</v>
      </c>
      <c r="B33">
        <v>2031294081</v>
      </c>
      <c r="C33">
        <v>30</v>
      </c>
      <c r="D33">
        <v>10</v>
      </c>
      <c r="E33" t="s">
        <v>8</v>
      </c>
      <c r="F33" t="s">
        <v>94</v>
      </c>
      <c r="G33">
        <v>1</v>
      </c>
      <c r="H33">
        <v>2</v>
      </c>
      <c r="I33">
        <v>0</v>
      </c>
      <c r="J33">
        <v>2</v>
      </c>
      <c r="K33" t="s">
        <v>59</v>
      </c>
      <c r="L33" s="18">
        <v>0</v>
      </c>
      <c r="M33" t="s">
        <v>59</v>
      </c>
      <c r="N33" s="18">
        <v>8.3333333333333329E-2</v>
      </c>
      <c r="O33" t="s">
        <v>11</v>
      </c>
      <c r="P33" t="s">
        <v>14</v>
      </c>
      <c r="Q33" t="s">
        <v>13</v>
      </c>
      <c r="T33" s="18">
        <v>0</v>
      </c>
      <c r="W33" s="18">
        <v>0</v>
      </c>
      <c r="Y33">
        <v>0</v>
      </c>
      <c r="Z33">
        <v>0</v>
      </c>
      <c r="AA33">
        <v>2</v>
      </c>
      <c r="AB33" t="s">
        <v>20</v>
      </c>
      <c r="AC33">
        <v>19</v>
      </c>
    </row>
    <row r="34" spans="1:29" x14ac:dyDescent="0.25">
      <c r="A34">
        <v>133444101</v>
      </c>
      <c r="B34">
        <v>2031294081</v>
      </c>
      <c r="C34">
        <v>100</v>
      </c>
      <c r="D34">
        <v>10</v>
      </c>
      <c r="E34" t="s">
        <v>8</v>
      </c>
      <c r="F34" t="s">
        <v>95</v>
      </c>
      <c r="G34">
        <v>2</v>
      </c>
      <c r="H34">
        <v>16</v>
      </c>
      <c r="I34">
        <v>0</v>
      </c>
      <c r="J34">
        <v>8</v>
      </c>
      <c r="K34" t="s">
        <v>59</v>
      </c>
      <c r="L34" s="18">
        <v>0</v>
      </c>
      <c r="M34" t="s">
        <v>59</v>
      </c>
      <c r="N34" s="18">
        <v>0.33333333333333331</v>
      </c>
      <c r="O34" t="s">
        <v>11</v>
      </c>
      <c r="P34" t="s">
        <v>14</v>
      </c>
      <c r="Q34" t="s">
        <v>13</v>
      </c>
      <c r="T34" s="18">
        <v>0</v>
      </c>
      <c r="W34" s="18">
        <v>0</v>
      </c>
      <c r="Y34">
        <v>0</v>
      </c>
      <c r="Z34">
        <v>0</v>
      </c>
      <c r="AA34">
        <v>2</v>
      </c>
      <c r="AB34" t="s">
        <v>20</v>
      </c>
      <c r="AC34">
        <v>19</v>
      </c>
    </row>
    <row r="35" spans="1:29" x14ac:dyDescent="0.25">
      <c r="A35">
        <v>133444115</v>
      </c>
      <c r="B35">
        <v>2031294081</v>
      </c>
      <c r="C35">
        <v>190</v>
      </c>
      <c r="D35">
        <v>10</v>
      </c>
      <c r="E35" t="s">
        <v>8</v>
      </c>
      <c r="F35" t="s">
        <v>96</v>
      </c>
      <c r="G35">
        <v>1</v>
      </c>
      <c r="H35">
        <v>3</v>
      </c>
      <c r="I35">
        <v>0</v>
      </c>
      <c r="J35">
        <v>3</v>
      </c>
      <c r="K35" t="s">
        <v>59</v>
      </c>
      <c r="L35" s="18">
        <v>0</v>
      </c>
      <c r="M35" t="s">
        <v>59</v>
      </c>
      <c r="N35" s="18">
        <v>0.125</v>
      </c>
      <c r="O35" t="s">
        <v>11</v>
      </c>
      <c r="P35" t="s">
        <v>14</v>
      </c>
      <c r="Q35" t="s">
        <v>13</v>
      </c>
      <c r="T35" s="18">
        <v>0</v>
      </c>
      <c r="W35" s="18">
        <v>0</v>
      </c>
      <c r="Y35">
        <v>0</v>
      </c>
      <c r="Z35">
        <v>0</v>
      </c>
      <c r="AA35">
        <v>2</v>
      </c>
      <c r="AB35" t="s">
        <v>20</v>
      </c>
      <c r="AC35">
        <v>19</v>
      </c>
    </row>
    <row r="36" spans="1:29" x14ac:dyDescent="0.25">
      <c r="A36">
        <v>133444095</v>
      </c>
      <c r="B36">
        <v>2031294081</v>
      </c>
      <c r="C36">
        <v>80</v>
      </c>
      <c r="E36" t="s">
        <v>8</v>
      </c>
      <c r="F36" t="s">
        <v>97</v>
      </c>
      <c r="G36">
        <v>2</v>
      </c>
      <c r="H36">
        <v>4</v>
      </c>
      <c r="I36">
        <v>0</v>
      </c>
      <c r="J36">
        <v>2</v>
      </c>
      <c r="K36" t="s">
        <v>59</v>
      </c>
      <c r="L36" s="18">
        <v>0</v>
      </c>
      <c r="M36" t="s">
        <v>59</v>
      </c>
      <c r="N36" s="18">
        <v>8.3333333333333329E-2</v>
      </c>
      <c r="O36" t="s">
        <v>11</v>
      </c>
      <c r="P36" t="s">
        <v>14</v>
      </c>
      <c r="Q36" t="s">
        <v>13</v>
      </c>
      <c r="T36" s="18">
        <v>0</v>
      </c>
      <c r="W36" s="18">
        <v>0</v>
      </c>
      <c r="Y36">
        <v>0</v>
      </c>
      <c r="Z36">
        <v>0</v>
      </c>
      <c r="AA36">
        <v>2</v>
      </c>
      <c r="AB36" t="s">
        <v>20</v>
      </c>
      <c r="AC36">
        <v>19</v>
      </c>
    </row>
    <row r="37" spans="1:29" x14ac:dyDescent="0.25">
      <c r="A37">
        <v>133559728</v>
      </c>
      <c r="B37">
        <v>2031348916</v>
      </c>
      <c r="C37">
        <v>160</v>
      </c>
      <c r="E37" t="s">
        <v>8</v>
      </c>
      <c r="F37" t="s">
        <v>104</v>
      </c>
      <c r="G37">
        <v>2</v>
      </c>
      <c r="H37">
        <v>16</v>
      </c>
      <c r="I37">
        <v>0</v>
      </c>
      <c r="J37">
        <v>8</v>
      </c>
      <c r="K37" t="s">
        <v>59</v>
      </c>
      <c r="L37" s="18">
        <v>0.3125</v>
      </c>
      <c r="M37" t="s">
        <v>59</v>
      </c>
      <c r="N37" s="18">
        <v>0.62083333333333335</v>
      </c>
      <c r="O37" t="s">
        <v>11</v>
      </c>
      <c r="P37" t="s">
        <v>14</v>
      </c>
      <c r="Q37" t="s">
        <v>13</v>
      </c>
      <c r="T37" s="18">
        <v>0</v>
      </c>
      <c r="W37" s="19">
        <v>1</v>
      </c>
      <c r="Y37">
        <v>0</v>
      </c>
      <c r="Z37">
        <v>0</v>
      </c>
      <c r="AA37">
        <v>1</v>
      </c>
      <c r="AB37" t="s">
        <v>20</v>
      </c>
      <c r="AC37">
        <v>19</v>
      </c>
    </row>
    <row r="38" spans="1:29" x14ac:dyDescent="0.25">
      <c r="A38">
        <v>133559729</v>
      </c>
      <c r="B38">
        <v>2031348916</v>
      </c>
      <c r="C38">
        <v>170</v>
      </c>
      <c r="E38" t="s">
        <v>8</v>
      </c>
      <c r="F38" t="s">
        <v>105</v>
      </c>
      <c r="G38">
        <v>2</v>
      </c>
      <c r="H38">
        <v>16</v>
      </c>
      <c r="I38">
        <v>0</v>
      </c>
      <c r="J38">
        <v>8</v>
      </c>
      <c r="K38" t="s">
        <v>62</v>
      </c>
      <c r="L38" s="18">
        <v>0.47083333333333333</v>
      </c>
      <c r="M38" t="s">
        <v>60</v>
      </c>
      <c r="N38" s="18">
        <v>0.36249999999999999</v>
      </c>
      <c r="O38" t="s">
        <v>11</v>
      </c>
      <c r="P38" t="s">
        <v>14</v>
      </c>
      <c r="Q38" t="s">
        <v>13</v>
      </c>
      <c r="T38" s="18">
        <v>0</v>
      </c>
      <c r="W38" s="19">
        <v>1</v>
      </c>
      <c r="Y38">
        <v>0</v>
      </c>
      <c r="Z38">
        <v>0</v>
      </c>
      <c r="AA38">
        <v>1</v>
      </c>
      <c r="AB38" t="s">
        <v>20</v>
      </c>
      <c r="AC38">
        <v>19</v>
      </c>
    </row>
    <row r="39" spans="1:29" x14ac:dyDescent="0.25">
      <c r="A39">
        <v>133817660</v>
      </c>
      <c r="B39">
        <v>2031380423</v>
      </c>
      <c r="C39">
        <v>25</v>
      </c>
      <c r="E39" t="s">
        <v>8</v>
      </c>
      <c r="F39" t="s">
        <v>106</v>
      </c>
      <c r="G39">
        <v>2</v>
      </c>
      <c r="H39">
        <v>8</v>
      </c>
      <c r="I39">
        <v>0</v>
      </c>
      <c r="J39">
        <v>4</v>
      </c>
      <c r="K39" t="s">
        <v>59</v>
      </c>
      <c r="L39" s="18">
        <v>0.3125</v>
      </c>
      <c r="M39" t="s">
        <v>59</v>
      </c>
      <c r="N39" s="18">
        <v>0.44583333333333336</v>
      </c>
      <c r="O39" t="s">
        <v>17</v>
      </c>
      <c r="P39" t="s">
        <v>14</v>
      </c>
      <c r="Q39" t="s">
        <v>13</v>
      </c>
      <c r="T39" s="18">
        <v>0</v>
      </c>
      <c r="W39" s="18">
        <v>1</v>
      </c>
      <c r="X39" t="s">
        <v>23</v>
      </c>
      <c r="Y39">
        <v>0</v>
      </c>
      <c r="Z39">
        <v>0</v>
      </c>
      <c r="AC39">
        <v>19</v>
      </c>
    </row>
    <row r="40" spans="1:29" x14ac:dyDescent="0.25">
      <c r="A40">
        <v>134811642</v>
      </c>
      <c r="B40">
        <v>2031383408</v>
      </c>
      <c r="C40">
        <v>21</v>
      </c>
      <c r="D40">
        <v>10</v>
      </c>
      <c r="E40" t="s">
        <v>8</v>
      </c>
      <c r="F40" t="s">
        <v>107</v>
      </c>
      <c r="G40">
        <v>2</v>
      </c>
      <c r="H40">
        <v>12</v>
      </c>
      <c r="I40">
        <v>0</v>
      </c>
      <c r="J40">
        <v>6</v>
      </c>
      <c r="K40" t="s">
        <v>59</v>
      </c>
      <c r="L40" s="18">
        <v>0</v>
      </c>
      <c r="M40" t="s">
        <v>59</v>
      </c>
      <c r="N40" s="18">
        <v>0.25</v>
      </c>
      <c r="O40" t="s">
        <v>11</v>
      </c>
      <c r="P40" t="s">
        <v>14</v>
      </c>
      <c r="Q40" t="s">
        <v>13</v>
      </c>
      <c r="T40" s="18">
        <v>0</v>
      </c>
      <c r="W40" s="18">
        <v>0</v>
      </c>
      <c r="Y40">
        <v>0</v>
      </c>
      <c r="Z40">
        <v>0</v>
      </c>
      <c r="AB40" t="s">
        <v>20</v>
      </c>
      <c r="AC40">
        <v>19</v>
      </c>
    </row>
    <row r="41" spans="1:29" x14ac:dyDescent="0.25">
      <c r="A41">
        <v>134811644</v>
      </c>
      <c r="B41">
        <v>2031383408</v>
      </c>
      <c r="C41">
        <v>31</v>
      </c>
      <c r="D41">
        <v>10</v>
      </c>
      <c r="E41" t="s">
        <v>8</v>
      </c>
      <c r="F41" t="s">
        <v>108</v>
      </c>
      <c r="G41">
        <v>2</v>
      </c>
      <c r="H41">
        <v>16</v>
      </c>
      <c r="I41">
        <v>0</v>
      </c>
      <c r="J41">
        <v>8</v>
      </c>
      <c r="K41" t="s">
        <v>59</v>
      </c>
      <c r="L41" s="18">
        <v>0.25</v>
      </c>
      <c r="M41" t="s">
        <v>59</v>
      </c>
      <c r="N41" s="18">
        <v>0.58333333333333337</v>
      </c>
      <c r="O41" t="s">
        <v>11</v>
      </c>
      <c r="P41" t="s">
        <v>14</v>
      </c>
      <c r="Q41" t="s">
        <v>13</v>
      </c>
      <c r="T41" s="18">
        <v>0</v>
      </c>
      <c r="W41" s="18">
        <v>0</v>
      </c>
      <c r="Y41">
        <v>0</v>
      </c>
      <c r="Z41">
        <v>0</v>
      </c>
      <c r="AB41" t="s">
        <v>20</v>
      </c>
      <c r="AC41">
        <v>19</v>
      </c>
    </row>
    <row r="42" spans="1:29" x14ac:dyDescent="0.25">
      <c r="A42">
        <v>134811646</v>
      </c>
      <c r="B42">
        <v>2031383408</v>
      </c>
      <c r="C42">
        <v>51</v>
      </c>
      <c r="E42" t="s">
        <v>8</v>
      </c>
      <c r="F42" t="s">
        <v>109</v>
      </c>
      <c r="G42">
        <v>2</v>
      </c>
      <c r="H42">
        <v>4</v>
      </c>
      <c r="I42">
        <v>0</v>
      </c>
      <c r="J42">
        <v>2</v>
      </c>
      <c r="K42" t="s">
        <v>59</v>
      </c>
      <c r="L42" s="18">
        <v>0.75</v>
      </c>
      <c r="M42" t="s">
        <v>59</v>
      </c>
      <c r="N42" s="18">
        <v>0.83333333333333337</v>
      </c>
      <c r="O42" t="s">
        <v>11</v>
      </c>
      <c r="P42" t="s">
        <v>14</v>
      </c>
      <c r="Q42" t="s">
        <v>13</v>
      </c>
      <c r="T42" s="18">
        <v>0</v>
      </c>
      <c r="W42" s="19">
        <v>0</v>
      </c>
      <c r="Y42">
        <v>0</v>
      </c>
      <c r="Z42">
        <v>0</v>
      </c>
      <c r="AB42" t="s">
        <v>20</v>
      </c>
      <c r="AC42">
        <v>19</v>
      </c>
    </row>
    <row r="43" spans="1:29" x14ac:dyDescent="0.25">
      <c r="A43">
        <v>134811647</v>
      </c>
      <c r="B43">
        <v>2031383408</v>
      </c>
      <c r="C43">
        <v>61</v>
      </c>
      <c r="E43" t="s">
        <v>8</v>
      </c>
      <c r="F43" t="s">
        <v>110</v>
      </c>
      <c r="G43">
        <v>2</v>
      </c>
      <c r="H43">
        <v>6</v>
      </c>
      <c r="I43">
        <v>0</v>
      </c>
      <c r="J43">
        <v>3</v>
      </c>
      <c r="K43" t="s">
        <v>59</v>
      </c>
      <c r="L43" s="18">
        <v>0.83333333333333337</v>
      </c>
      <c r="M43" t="s">
        <v>59</v>
      </c>
      <c r="N43" s="18">
        <v>0.95833333333333337</v>
      </c>
      <c r="O43" t="s">
        <v>11</v>
      </c>
      <c r="P43" t="s">
        <v>14</v>
      </c>
      <c r="Q43" t="s">
        <v>13</v>
      </c>
      <c r="T43" s="18">
        <v>0</v>
      </c>
      <c r="W43" s="19">
        <v>0</v>
      </c>
      <c r="Y43">
        <v>0</v>
      </c>
      <c r="Z43">
        <v>0</v>
      </c>
      <c r="AB43" t="s">
        <v>20</v>
      </c>
      <c r="AC43">
        <v>19</v>
      </c>
    </row>
    <row r="44" spans="1:29" x14ac:dyDescent="0.25">
      <c r="A44">
        <v>134811651</v>
      </c>
      <c r="B44">
        <v>2031383408</v>
      </c>
      <c r="C44">
        <v>101</v>
      </c>
      <c r="E44" t="s">
        <v>8</v>
      </c>
      <c r="F44" t="s">
        <v>111</v>
      </c>
      <c r="G44">
        <v>2</v>
      </c>
      <c r="H44">
        <v>4</v>
      </c>
      <c r="I44">
        <v>0</v>
      </c>
      <c r="J44">
        <v>2</v>
      </c>
      <c r="K44" t="s">
        <v>62</v>
      </c>
      <c r="L44" s="18">
        <v>0.125</v>
      </c>
      <c r="M44" t="s">
        <v>62</v>
      </c>
      <c r="N44" s="18">
        <v>0.20833333333333334</v>
      </c>
      <c r="O44" t="s">
        <v>11</v>
      </c>
      <c r="P44" t="s">
        <v>14</v>
      </c>
      <c r="Q44" t="s">
        <v>13</v>
      </c>
      <c r="T44" s="18">
        <v>0</v>
      </c>
      <c r="W44" s="18">
        <v>0</v>
      </c>
      <c r="Y44">
        <v>0</v>
      </c>
      <c r="Z44">
        <v>0</v>
      </c>
      <c r="AB44" t="s">
        <v>20</v>
      </c>
      <c r="AC44">
        <v>19</v>
      </c>
    </row>
    <row r="45" spans="1:29" x14ac:dyDescent="0.25">
      <c r="A45">
        <v>134597199</v>
      </c>
      <c r="B45">
        <v>2031513241</v>
      </c>
      <c r="C45">
        <v>70</v>
      </c>
      <c r="E45" t="s">
        <v>8</v>
      </c>
      <c r="F45" t="s">
        <v>116</v>
      </c>
      <c r="G45">
        <v>4</v>
      </c>
      <c r="H45">
        <v>32</v>
      </c>
      <c r="I45">
        <v>0</v>
      </c>
      <c r="J45">
        <v>8</v>
      </c>
      <c r="K45" t="s">
        <v>59</v>
      </c>
      <c r="L45" s="18">
        <v>0.3125</v>
      </c>
      <c r="M45" t="s">
        <v>59</v>
      </c>
      <c r="N45" s="18">
        <v>0.6875</v>
      </c>
      <c r="O45" t="s">
        <v>11</v>
      </c>
      <c r="P45" t="s">
        <v>14</v>
      </c>
      <c r="Q45" t="s">
        <v>13</v>
      </c>
      <c r="T45" s="18">
        <v>0</v>
      </c>
      <c r="W45" s="18">
        <v>0</v>
      </c>
      <c r="Y45">
        <v>0</v>
      </c>
      <c r="Z45">
        <v>0</v>
      </c>
      <c r="AB45" t="s">
        <v>20</v>
      </c>
      <c r="AC45">
        <v>19</v>
      </c>
    </row>
    <row r="46" spans="1:29" x14ac:dyDescent="0.25">
      <c r="A46">
        <v>134614627</v>
      </c>
      <c r="B46">
        <v>2031514516</v>
      </c>
      <c r="C46">
        <v>100</v>
      </c>
      <c r="D46">
        <v>10</v>
      </c>
      <c r="E46" t="s">
        <v>8</v>
      </c>
      <c r="F46" t="s">
        <v>117</v>
      </c>
      <c r="G46">
        <v>4</v>
      </c>
      <c r="H46">
        <v>24</v>
      </c>
      <c r="I46">
        <v>0</v>
      </c>
      <c r="J46">
        <v>6</v>
      </c>
      <c r="K46" t="s">
        <v>62</v>
      </c>
      <c r="L46" s="18">
        <v>0.625</v>
      </c>
      <c r="M46" t="s">
        <v>62</v>
      </c>
      <c r="N46" s="18">
        <v>0.875</v>
      </c>
      <c r="O46" t="s">
        <v>11</v>
      </c>
      <c r="P46" t="s">
        <v>12</v>
      </c>
      <c r="Q46" t="s">
        <v>13</v>
      </c>
      <c r="T46" s="18">
        <v>0</v>
      </c>
      <c r="W46" s="18">
        <v>0</v>
      </c>
      <c r="Y46">
        <v>0</v>
      </c>
      <c r="Z46">
        <v>0</v>
      </c>
      <c r="AA46">
        <v>1</v>
      </c>
      <c r="AB46" t="s">
        <v>20</v>
      </c>
      <c r="AC46">
        <v>19</v>
      </c>
    </row>
    <row r="47" spans="1:29" x14ac:dyDescent="0.25">
      <c r="A47">
        <v>134614631</v>
      </c>
      <c r="B47">
        <v>2031514516</v>
      </c>
      <c r="C47">
        <v>101</v>
      </c>
      <c r="E47" t="s">
        <v>8</v>
      </c>
      <c r="F47" t="s">
        <v>118</v>
      </c>
      <c r="G47">
        <v>2</v>
      </c>
      <c r="H47">
        <v>4</v>
      </c>
      <c r="I47">
        <v>0</v>
      </c>
      <c r="J47">
        <v>2</v>
      </c>
      <c r="K47" t="s">
        <v>62</v>
      </c>
      <c r="L47" s="18">
        <v>0.875</v>
      </c>
      <c r="M47" t="s">
        <v>62</v>
      </c>
      <c r="N47" s="18">
        <v>0.95833333333333337</v>
      </c>
      <c r="O47" t="s">
        <v>11</v>
      </c>
      <c r="P47" t="s">
        <v>12</v>
      </c>
      <c r="Q47" t="s">
        <v>13</v>
      </c>
      <c r="T47" s="18">
        <v>0</v>
      </c>
      <c r="W47" s="18">
        <v>0</v>
      </c>
      <c r="Y47">
        <v>0</v>
      </c>
      <c r="Z47">
        <v>0</v>
      </c>
      <c r="AA47">
        <v>1</v>
      </c>
      <c r="AB47" t="s">
        <v>20</v>
      </c>
      <c r="AC47">
        <v>19</v>
      </c>
    </row>
    <row r="48" spans="1:29" x14ac:dyDescent="0.25">
      <c r="A48">
        <v>134963619</v>
      </c>
      <c r="B48">
        <v>2031576556</v>
      </c>
      <c r="C48">
        <v>20</v>
      </c>
      <c r="E48" t="s">
        <v>8</v>
      </c>
      <c r="F48" t="s">
        <v>123</v>
      </c>
      <c r="G48">
        <v>2</v>
      </c>
      <c r="H48">
        <v>12</v>
      </c>
      <c r="I48">
        <v>0</v>
      </c>
      <c r="J48">
        <v>6</v>
      </c>
      <c r="K48" t="s">
        <v>59</v>
      </c>
      <c r="L48" s="18">
        <v>0.33333333333333331</v>
      </c>
      <c r="M48" t="s">
        <v>59</v>
      </c>
      <c r="N48" s="18">
        <v>0.58333333333333337</v>
      </c>
      <c r="O48" t="s">
        <v>11</v>
      </c>
      <c r="P48" t="s">
        <v>14</v>
      </c>
      <c r="Q48" t="s">
        <v>13</v>
      </c>
      <c r="T48" s="18">
        <v>0</v>
      </c>
      <c r="W48" s="18">
        <v>0</v>
      </c>
      <c r="Y48">
        <v>0</v>
      </c>
      <c r="Z48">
        <v>0</v>
      </c>
      <c r="AC48">
        <v>19</v>
      </c>
    </row>
    <row r="49" spans="12:23" x14ac:dyDescent="0.25">
      <c r="L49" s="18"/>
      <c r="N49" s="18"/>
      <c r="T49" s="18"/>
      <c r="W49" s="18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6204F-57C8-4197-BA43-AF8EFC92BD24}">
  <sheetPr codeName="Planilha6">
    <tabColor rgb="FF00B0F0"/>
  </sheetPr>
  <dimension ref="A1:AC88"/>
  <sheetViews>
    <sheetView workbookViewId="0">
      <selection activeCell="A3" sqref="A3:AC36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0.710937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6" bestFit="1" customWidth="1"/>
    <col min="16" max="16" width="17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184.89999999999998</v>
      </c>
    </row>
    <row r="2" spans="1:29" s="30" customFormat="1" ht="15.75" thickBot="1" x14ac:dyDescent="0.3">
      <c r="A2" s="27" t="s">
        <v>28</v>
      </c>
      <c r="B2" s="28" t="s">
        <v>27</v>
      </c>
      <c r="C2" s="28" t="s">
        <v>26</v>
      </c>
      <c r="D2" s="28" t="s">
        <v>29</v>
      </c>
      <c r="E2" s="28" t="s">
        <v>30</v>
      </c>
      <c r="F2" s="28" t="s">
        <v>31</v>
      </c>
      <c r="G2" s="28" t="s">
        <v>32</v>
      </c>
      <c r="H2" s="28" t="s">
        <v>33</v>
      </c>
      <c r="I2" s="28" t="s">
        <v>34</v>
      </c>
      <c r="J2" s="29" t="s">
        <v>35</v>
      </c>
      <c r="K2" s="31"/>
    </row>
    <row r="3" spans="1:29" x14ac:dyDescent="0.25">
      <c r="A3">
        <v>135009922</v>
      </c>
      <c r="B3">
        <v>2024167276</v>
      </c>
      <c r="C3">
        <v>120</v>
      </c>
      <c r="E3" t="s">
        <v>9</v>
      </c>
      <c r="F3" t="s">
        <v>132</v>
      </c>
      <c r="G3">
        <v>2</v>
      </c>
      <c r="H3">
        <v>4</v>
      </c>
      <c r="I3">
        <v>0</v>
      </c>
      <c r="J3">
        <v>2</v>
      </c>
      <c r="K3" t="s">
        <v>59</v>
      </c>
      <c r="L3" s="18">
        <v>0</v>
      </c>
      <c r="M3" t="s">
        <v>59</v>
      </c>
      <c r="N3" s="18">
        <v>8.3333333333333329E-2</v>
      </c>
      <c r="O3" t="s">
        <v>11</v>
      </c>
      <c r="P3" t="s">
        <v>14</v>
      </c>
      <c r="Q3" t="s">
        <v>13</v>
      </c>
      <c r="T3" s="18">
        <v>0</v>
      </c>
      <c r="W3" s="18">
        <v>0</v>
      </c>
      <c r="Y3">
        <v>0</v>
      </c>
      <c r="Z3">
        <v>0</v>
      </c>
      <c r="AC3">
        <v>19</v>
      </c>
    </row>
    <row r="4" spans="1:29" x14ac:dyDescent="0.25">
      <c r="A4">
        <v>111676872</v>
      </c>
      <c r="B4">
        <v>2027857458</v>
      </c>
      <c r="C4">
        <v>20</v>
      </c>
      <c r="E4" t="s">
        <v>9</v>
      </c>
      <c r="F4" t="s">
        <v>139</v>
      </c>
      <c r="G4">
        <v>2</v>
      </c>
      <c r="H4">
        <v>8</v>
      </c>
      <c r="I4">
        <v>0</v>
      </c>
      <c r="J4">
        <v>4</v>
      </c>
      <c r="K4" t="s">
        <v>59</v>
      </c>
      <c r="L4" s="18">
        <v>0.56081018518518522</v>
      </c>
      <c r="M4" t="s">
        <v>59</v>
      </c>
      <c r="N4" s="18">
        <v>0.69414351851851852</v>
      </c>
      <c r="O4" t="s">
        <v>40</v>
      </c>
      <c r="P4" t="s">
        <v>16</v>
      </c>
      <c r="Q4" t="s">
        <v>13</v>
      </c>
      <c r="T4" s="18">
        <v>0</v>
      </c>
      <c r="W4" s="19">
        <v>0</v>
      </c>
      <c r="Y4">
        <v>0</v>
      </c>
      <c r="Z4">
        <v>0</v>
      </c>
      <c r="AA4">
        <v>2</v>
      </c>
      <c r="AB4" t="s">
        <v>20</v>
      </c>
      <c r="AC4">
        <v>19</v>
      </c>
    </row>
    <row r="5" spans="1:29" x14ac:dyDescent="0.25">
      <c r="A5">
        <v>120817377</v>
      </c>
      <c r="B5">
        <v>2027857458</v>
      </c>
      <c r="C5">
        <v>40</v>
      </c>
      <c r="E5" t="s">
        <v>9</v>
      </c>
      <c r="F5" t="s">
        <v>140</v>
      </c>
      <c r="G5">
        <v>1</v>
      </c>
      <c r="H5">
        <v>0.2</v>
      </c>
      <c r="I5">
        <v>0</v>
      </c>
      <c r="J5">
        <v>0.2</v>
      </c>
      <c r="K5" t="s">
        <v>62</v>
      </c>
      <c r="L5" s="18">
        <v>0.34414351851851854</v>
      </c>
      <c r="M5" t="s">
        <v>62</v>
      </c>
      <c r="N5" s="18">
        <v>0.3508101851851852</v>
      </c>
      <c r="O5" t="s">
        <v>141</v>
      </c>
      <c r="P5" t="s">
        <v>16</v>
      </c>
      <c r="Q5" t="s">
        <v>13</v>
      </c>
      <c r="T5" s="18">
        <v>0</v>
      </c>
      <c r="W5" s="19">
        <v>0</v>
      </c>
      <c r="Y5">
        <v>0</v>
      </c>
      <c r="Z5">
        <v>0</v>
      </c>
      <c r="AA5">
        <v>2</v>
      </c>
      <c r="AB5" t="s">
        <v>20</v>
      </c>
      <c r="AC5">
        <v>19</v>
      </c>
    </row>
    <row r="6" spans="1:29" x14ac:dyDescent="0.25">
      <c r="A6">
        <v>135008629</v>
      </c>
      <c r="B6">
        <v>2028265715</v>
      </c>
      <c r="C6">
        <v>280</v>
      </c>
      <c r="D6">
        <v>10</v>
      </c>
      <c r="E6" t="s">
        <v>9</v>
      </c>
      <c r="F6" t="s">
        <v>142</v>
      </c>
      <c r="G6">
        <v>2</v>
      </c>
      <c r="H6">
        <v>6</v>
      </c>
      <c r="I6">
        <v>0</v>
      </c>
      <c r="J6">
        <v>3</v>
      </c>
      <c r="K6" t="s">
        <v>59</v>
      </c>
      <c r="L6" s="18">
        <v>0.44583333333333336</v>
      </c>
      <c r="M6" t="s">
        <v>59</v>
      </c>
      <c r="N6" s="18">
        <v>0.58750000000000002</v>
      </c>
      <c r="O6" t="s">
        <v>11</v>
      </c>
      <c r="P6" t="s">
        <v>14</v>
      </c>
      <c r="Q6" t="s">
        <v>13</v>
      </c>
      <c r="T6" s="18">
        <v>0</v>
      </c>
      <c r="W6" s="19">
        <v>0</v>
      </c>
      <c r="Y6">
        <v>0</v>
      </c>
      <c r="Z6">
        <v>0</v>
      </c>
      <c r="AB6" t="s">
        <v>20</v>
      </c>
      <c r="AC6">
        <v>19</v>
      </c>
    </row>
    <row r="7" spans="1:29" x14ac:dyDescent="0.25">
      <c r="A7">
        <v>135022410</v>
      </c>
      <c r="B7">
        <v>2030222676</v>
      </c>
      <c r="C7">
        <v>70</v>
      </c>
      <c r="E7" t="s">
        <v>9</v>
      </c>
      <c r="F7" t="s">
        <v>156</v>
      </c>
      <c r="G7">
        <v>1</v>
      </c>
      <c r="H7">
        <v>0.2</v>
      </c>
      <c r="I7">
        <v>0</v>
      </c>
      <c r="J7">
        <v>0.2</v>
      </c>
      <c r="K7" t="s">
        <v>59</v>
      </c>
      <c r="L7" s="18">
        <v>0.69416666666666671</v>
      </c>
      <c r="M7" t="s">
        <v>59</v>
      </c>
      <c r="N7" s="18">
        <v>0.70083333333333331</v>
      </c>
      <c r="O7" t="s">
        <v>11</v>
      </c>
      <c r="P7" t="s">
        <v>14</v>
      </c>
      <c r="Q7" t="s">
        <v>13</v>
      </c>
      <c r="T7" s="18">
        <v>0</v>
      </c>
      <c r="W7" s="18">
        <v>0</v>
      </c>
      <c r="Y7">
        <v>0</v>
      </c>
      <c r="Z7">
        <v>0</v>
      </c>
      <c r="AA7">
        <v>2</v>
      </c>
      <c r="AC7">
        <v>19</v>
      </c>
    </row>
    <row r="8" spans="1:29" x14ac:dyDescent="0.25">
      <c r="A8">
        <v>135021309</v>
      </c>
      <c r="B8">
        <v>2030707957</v>
      </c>
      <c r="C8">
        <v>350</v>
      </c>
      <c r="E8" t="s">
        <v>9</v>
      </c>
      <c r="F8" t="s">
        <v>47</v>
      </c>
      <c r="G8">
        <v>2</v>
      </c>
      <c r="H8">
        <v>2</v>
      </c>
      <c r="I8">
        <v>0</v>
      </c>
      <c r="J8">
        <v>1</v>
      </c>
      <c r="K8" t="s">
        <v>59</v>
      </c>
      <c r="L8" s="18">
        <v>0.3125</v>
      </c>
      <c r="M8" t="s">
        <v>59</v>
      </c>
      <c r="N8" s="18">
        <v>0.35416666666666669</v>
      </c>
      <c r="O8" t="s">
        <v>11</v>
      </c>
      <c r="P8" t="s">
        <v>14</v>
      </c>
      <c r="Q8" t="s">
        <v>13</v>
      </c>
      <c r="T8" s="18">
        <v>0</v>
      </c>
      <c r="W8" s="18">
        <v>0</v>
      </c>
      <c r="Y8">
        <v>0</v>
      </c>
      <c r="Z8">
        <v>0</v>
      </c>
      <c r="AC8">
        <v>19</v>
      </c>
    </row>
    <row r="9" spans="1:29" x14ac:dyDescent="0.25">
      <c r="A9">
        <v>135018891</v>
      </c>
      <c r="B9">
        <v>2030857362</v>
      </c>
      <c r="C9">
        <v>46</v>
      </c>
      <c r="E9" t="s">
        <v>9</v>
      </c>
      <c r="F9" t="s">
        <v>170</v>
      </c>
      <c r="G9">
        <v>1</v>
      </c>
      <c r="H9">
        <v>3</v>
      </c>
      <c r="I9">
        <v>0</v>
      </c>
      <c r="J9">
        <v>3</v>
      </c>
      <c r="K9" t="s">
        <v>59</v>
      </c>
      <c r="L9" s="18">
        <v>0.62059027777777775</v>
      </c>
      <c r="M9" t="s">
        <v>59</v>
      </c>
      <c r="N9" s="18">
        <v>0.72059027777777773</v>
      </c>
      <c r="O9" t="s">
        <v>11</v>
      </c>
      <c r="P9" t="s">
        <v>14</v>
      </c>
      <c r="Q9" t="s">
        <v>13</v>
      </c>
      <c r="T9" s="18">
        <v>0</v>
      </c>
      <c r="W9" s="18">
        <v>0</v>
      </c>
      <c r="Y9">
        <v>0</v>
      </c>
      <c r="Z9">
        <v>0</v>
      </c>
      <c r="AB9" t="s">
        <v>20</v>
      </c>
      <c r="AC9">
        <v>19</v>
      </c>
    </row>
    <row r="10" spans="1:29" x14ac:dyDescent="0.25">
      <c r="A10">
        <v>135018894</v>
      </c>
      <c r="B10">
        <v>2030857362</v>
      </c>
      <c r="C10">
        <v>48</v>
      </c>
      <c r="E10" t="s">
        <v>9</v>
      </c>
      <c r="F10" t="s">
        <v>171</v>
      </c>
      <c r="G10">
        <v>1</v>
      </c>
      <c r="H10">
        <v>3</v>
      </c>
      <c r="I10">
        <v>0</v>
      </c>
      <c r="J10">
        <v>3</v>
      </c>
      <c r="K10" t="s">
        <v>62</v>
      </c>
      <c r="L10" s="18">
        <v>0.54583333333333328</v>
      </c>
      <c r="M10" t="s">
        <v>62</v>
      </c>
      <c r="N10" s="18">
        <v>0.64583333333333337</v>
      </c>
      <c r="O10" t="s">
        <v>11</v>
      </c>
      <c r="P10" t="s">
        <v>14</v>
      </c>
      <c r="Q10" t="s">
        <v>13</v>
      </c>
      <c r="T10" s="18">
        <v>0</v>
      </c>
      <c r="W10" s="18">
        <v>0</v>
      </c>
      <c r="Y10">
        <v>0</v>
      </c>
      <c r="Z10">
        <v>0</v>
      </c>
      <c r="AB10" t="s">
        <v>20</v>
      </c>
      <c r="AC10">
        <v>19</v>
      </c>
    </row>
    <row r="11" spans="1:29" x14ac:dyDescent="0.25">
      <c r="A11">
        <v>131849570</v>
      </c>
      <c r="B11">
        <v>2030908629</v>
      </c>
      <c r="C11">
        <v>90</v>
      </c>
      <c r="E11" t="s">
        <v>9</v>
      </c>
      <c r="F11" t="s">
        <v>172</v>
      </c>
      <c r="G11">
        <v>1</v>
      </c>
      <c r="H11">
        <v>0.2</v>
      </c>
      <c r="I11">
        <v>0</v>
      </c>
      <c r="J11">
        <v>0.2</v>
      </c>
      <c r="K11" t="s">
        <v>62</v>
      </c>
      <c r="L11" s="18">
        <v>0.34414351851851854</v>
      </c>
      <c r="M11" t="s">
        <v>62</v>
      </c>
      <c r="N11" s="18">
        <v>0.3508101851851852</v>
      </c>
      <c r="O11" t="s">
        <v>11</v>
      </c>
      <c r="P11" t="s">
        <v>14</v>
      </c>
      <c r="Q11" t="s">
        <v>13</v>
      </c>
      <c r="T11" s="18">
        <v>0</v>
      </c>
      <c r="W11" s="18">
        <v>0</v>
      </c>
      <c r="Y11">
        <v>0</v>
      </c>
      <c r="Z11">
        <v>0</v>
      </c>
      <c r="AA11">
        <v>1</v>
      </c>
      <c r="AB11" t="s">
        <v>20</v>
      </c>
      <c r="AC11">
        <v>19</v>
      </c>
    </row>
    <row r="12" spans="1:29" x14ac:dyDescent="0.25">
      <c r="A12">
        <v>134998431</v>
      </c>
      <c r="B12">
        <v>2031111330</v>
      </c>
      <c r="C12">
        <v>310</v>
      </c>
      <c r="E12" t="s">
        <v>9</v>
      </c>
      <c r="F12" t="s">
        <v>175</v>
      </c>
      <c r="G12">
        <v>2</v>
      </c>
      <c r="H12">
        <v>4</v>
      </c>
      <c r="I12">
        <v>0</v>
      </c>
      <c r="J12">
        <v>2</v>
      </c>
      <c r="K12" t="s">
        <v>60</v>
      </c>
      <c r="L12" s="18">
        <v>0.72083333333333333</v>
      </c>
      <c r="M12" t="s">
        <v>72</v>
      </c>
      <c r="N12" s="18">
        <v>0.37083333333333335</v>
      </c>
      <c r="O12" t="s">
        <v>11</v>
      </c>
      <c r="P12" t="s">
        <v>14</v>
      </c>
      <c r="Q12" t="s">
        <v>13</v>
      </c>
      <c r="T12" s="18">
        <v>0</v>
      </c>
      <c r="W12" s="18">
        <v>0</v>
      </c>
      <c r="Y12">
        <v>0</v>
      </c>
      <c r="Z12">
        <v>0</v>
      </c>
      <c r="AA12">
        <v>1</v>
      </c>
      <c r="AB12" t="s">
        <v>20</v>
      </c>
      <c r="AC12">
        <v>19</v>
      </c>
    </row>
    <row r="13" spans="1:29" x14ac:dyDescent="0.25">
      <c r="A13">
        <v>133137843</v>
      </c>
      <c r="B13">
        <v>2031172622</v>
      </c>
      <c r="C13">
        <v>70</v>
      </c>
      <c r="E13" t="s">
        <v>9</v>
      </c>
      <c r="F13" t="s">
        <v>178</v>
      </c>
      <c r="G13">
        <v>2</v>
      </c>
      <c r="H13">
        <v>4</v>
      </c>
      <c r="I13">
        <v>0</v>
      </c>
      <c r="J13">
        <v>2</v>
      </c>
      <c r="K13" t="s">
        <v>88</v>
      </c>
      <c r="L13" s="18">
        <v>0.5708333333333333</v>
      </c>
      <c r="M13" t="s">
        <v>88</v>
      </c>
      <c r="N13" s="18">
        <v>0.63749999999999996</v>
      </c>
      <c r="O13" t="s">
        <v>40</v>
      </c>
      <c r="P13" t="s">
        <v>14</v>
      </c>
      <c r="Q13" t="s">
        <v>13</v>
      </c>
      <c r="T13" s="18">
        <v>0</v>
      </c>
      <c r="W13" s="18">
        <v>0</v>
      </c>
      <c r="Y13">
        <v>0</v>
      </c>
      <c r="Z13">
        <v>0</v>
      </c>
      <c r="AA13">
        <v>2</v>
      </c>
      <c r="AB13" t="s">
        <v>20</v>
      </c>
      <c r="AC13">
        <v>19</v>
      </c>
    </row>
    <row r="14" spans="1:29" x14ac:dyDescent="0.25">
      <c r="A14">
        <v>133137844</v>
      </c>
      <c r="B14">
        <v>2031172622</v>
      </c>
      <c r="C14">
        <v>80</v>
      </c>
      <c r="E14" t="s">
        <v>9</v>
      </c>
      <c r="F14" t="s">
        <v>179</v>
      </c>
      <c r="G14">
        <v>1</v>
      </c>
      <c r="H14">
        <v>0.2</v>
      </c>
      <c r="I14">
        <v>0</v>
      </c>
      <c r="J14">
        <v>0.2</v>
      </c>
      <c r="K14" t="s">
        <v>88</v>
      </c>
      <c r="L14" s="18">
        <v>0.63749999999999996</v>
      </c>
      <c r="M14" t="s">
        <v>88</v>
      </c>
      <c r="N14" s="18">
        <v>0.64416666666666667</v>
      </c>
      <c r="O14" t="s">
        <v>15</v>
      </c>
      <c r="P14" t="s">
        <v>14</v>
      </c>
      <c r="Q14" t="s">
        <v>13</v>
      </c>
      <c r="T14" s="18">
        <v>0</v>
      </c>
      <c r="W14" s="19">
        <v>0</v>
      </c>
      <c r="Y14">
        <v>0</v>
      </c>
      <c r="Z14">
        <v>0</v>
      </c>
      <c r="AA14">
        <v>2</v>
      </c>
      <c r="AB14" t="s">
        <v>20</v>
      </c>
      <c r="AC14">
        <v>19</v>
      </c>
    </row>
    <row r="15" spans="1:29" x14ac:dyDescent="0.25">
      <c r="A15">
        <v>133976551</v>
      </c>
      <c r="B15">
        <v>2031191112</v>
      </c>
      <c r="C15">
        <v>125</v>
      </c>
      <c r="E15" t="s">
        <v>9</v>
      </c>
      <c r="F15" t="s">
        <v>180</v>
      </c>
      <c r="G15">
        <v>2</v>
      </c>
      <c r="H15">
        <v>12</v>
      </c>
      <c r="I15">
        <v>0</v>
      </c>
      <c r="J15">
        <v>6</v>
      </c>
      <c r="K15" t="s">
        <v>88</v>
      </c>
      <c r="L15" s="18">
        <v>0.44583333333333336</v>
      </c>
      <c r="M15" t="s">
        <v>88</v>
      </c>
      <c r="N15" s="18">
        <v>0.6875</v>
      </c>
      <c r="O15" t="s">
        <v>11</v>
      </c>
      <c r="P15" t="s">
        <v>12</v>
      </c>
      <c r="Q15" t="s">
        <v>13</v>
      </c>
      <c r="T15" s="18">
        <v>0</v>
      </c>
      <c r="W15" s="19">
        <v>0</v>
      </c>
      <c r="X15" t="s">
        <v>23</v>
      </c>
      <c r="Y15">
        <v>0</v>
      </c>
      <c r="Z15">
        <v>0</v>
      </c>
      <c r="AC15">
        <v>19</v>
      </c>
    </row>
    <row r="16" spans="1:29" x14ac:dyDescent="0.25">
      <c r="A16">
        <v>133255086</v>
      </c>
      <c r="B16">
        <v>2031292280</v>
      </c>
      <c r="C16">
        <v>10</v>
      </c>
      <c r="E16" t="s">
        <v>9</v>
      </c>
      <c r="F16" t="s">
        <v>182</v>
      </c>
      <c r="G16">
        <v>2</v>
      </c>
      <c r="H16">
        <v>8</v>
      </c>
      <c r="I16">
        <v>0</v>
      </c>
      <c r="J16">
        <v>4</v>
      </c>
      <c r="K16" t="s">
        <v>59</v>
      </c>
      <c r="L16" s="18">
        <v>0.3125</v>
      </c>
      <c r="M16" t="s">
        <v>59</v>
      </c>
      <c r="N16" s="18">
        <v>0.44583333333333336</v>
      </c>
      <c r="O16" t="s">
        <v>11</v>
      </c>
      <c r="P16" t="s">
        <v>14</v>
      </c>
      <c r="Q16" t="s">
        <v>13</v>
      </c>
      <c r="T16" s="18">
        <v>0</v>
      </c>
      <c r="W16" s="19">
        <v>1</v>
      </c>
      <c r="X16" t="s">
        <v>23</v>
      </c>
      <c r="Y16">
        <v>0</v>
      </c>
      <c r="Z16">
        <v>0</v>
      </c>
      <c r="AC16">
        <v>19</v>
      </c>
    </row>
    <row r="17" spans="1:29" x14ac:dyDescent="0.25">
      <c r="A17">
        <v>133833870</v>
      </c>
      <c r="B17">
        <v>2031294311</v>
      </c>
      <c r="C17">
        <v>15</v>
      </c>
      <c r="E17" t="s">
        <v>9</v>
      </c>
      <c r="F17" t="s">
        <v>183</v>
      </c>
      <c r="G17">
        <v>1</v>
      </c>
      <c r="H17">
        <v>5</v>
      </c>
      <c r="I17">
        <v>0</v>
      </c>
      <c r="J17">
        <v>5</v>
      </c>
      <c r="K17" t="s">
        <v>59</v>
      </c>
      <c r="L17" s="18">
        <v>0.47916666666666669</v>
      </c>
      <c r="M17" t="s">
        <v>59</v>
      </c>
      <c r="N17" s="18">
        <v>0.72916666666666663</v>
      </c>
      <c r="O17" t="s">
        <v>11</v>
      </c>
      <c r="P17" t="s">
        <v>14</v>
      </c>
      <c r="Q17" t="s">
        <v>13</v>
      </c>
      <c r="T17" s="18">
        <v>0</v>
      </c>
      <c r="W17" s="19">
        <v>0</v>
      </c>
      <c r="Y17">
        <v>0</v>
      </c>
      <c r="Z17">
        <v>0</v>
      </c>
      <c r="AA17">
        <v>2</v>
      </c>
      <c r="AB17" t="s">
        <v>20</v>
      </c>
      <c r="AC17">
        <v>19</v>
      </c>
    </row>
    <row r="18" spans="1:29" x14ac:dyDescent="0.25">
      <c r="A18">
        <v>133834814</v>
      </c>
      <c r="B18">
        <v>2031294311</v>
      </c>
      <c r="C18">
        <v>60</v>
      </c>
      <c r="E18" t="s">
        <v>9</v>
      </c>
      <c r="F18" t="s">
        <v>184</v>
      </c>
      <c r="G18">
        <v>1</v>
      </c>
      <c r="H18">
        <v>0.2</v>
      </c>
      <c r="I18">
        <v>0</v>
      </c>
      <c r="J18">
        <v>0.2</v>
      </c>
      <c r="K18" t="s">
        <v>72</v>
      </c>
      <c r="L18" s="18">
        <v>0.41666666666666669</v>
      </c>
      <c r="M18" t="s">
        <v>72</v>
      </c>
      <c r="N18" s="18">
        <v>0.42499999999999999</v>
      </c>
      <c r="O18" t="s">
        <v>11</v>
      </c>
      <c r="P18" t="s">
        <v>14</v>
      </c>
      <c r="Q18" t="s">
        <v>13</v>
      </c>
      <c r="T18" s="18">
        <v>0</v>
      </c>
      <c r="W18" s="18">
        <v>0</v>
      </c>
      <c r="Y18">
        <v>0</v>
      </c>
      <c r="Z18">
        <v>0</v>
      </c>
      <c r="AA18">
        <v>2</v>
      </c>
      <c r="AB18" t="s">
        <v>20</v>
      </c>
      <c r="AC18">
        <v>19</v>
      </c>
    </row>
    <row r="19" spans="1:29" x14ac:dyDescent="0.25">
      <c r="A19">
        <v>133262409</v>
      </c>
      <c r="B19">
        <v>2031294338</v>
      </c>
      <c r="C19">
        <v>10</v>
      </c>
      <c r="E19" t="s">
        <v>9</v>
      </c>
      <c r="F19" t="s">
        <v>54</v>
      </c>
      <c r="G19">
        <v>2</v>
      </c>
      <c r="H19">
        <v>18</v>
      </c>
      <c r="I19">
        <v>0</v>
      </c>
      <c r="J19">
        <v>9</v>
      </c>
      <c r="K19" t="s">
        <v>88</v>
      </c>
      <c r="L19" s="18">
        <v>0.3125</v>
      </c>
      <c r="M19" t="s">
        <v>88</v>
      </c>
      <c r="N19" s="18">
        <v>0.65416666666666667</v>
      </c>
      <c r="O19" t="s">
        <v>11</v>
      </c>
      <c r="P19" t="s">
        <v>14</v>
      </c>
      <c r="Q19" t="s">
        <v>13</v>
      </c>
      <c r="T19" s="18">
        <v>0</v>
      </c>
      <c r="W19" s="18">
        <v>0</v>
      </c>
      <c r="Y19">
        <v>0</v>
      </c>
      <c r="Z19">
        <v>0</v>
      </c>
      <c r="AA19">
        <v>1</v>
      </c>
      <c r="AB19" t="s">
        <v>20</v>
      </c>
      <c r="AC19">
        <v>19</v>
      </c>
    </row>
    <row r="20" spans="1:29" x14ac:dyDescent="0.25">
      <c r="A20">
        <v>134067192</v>
      </c>
      <c r="B20">
        <v>2031428176</v>
      </c>
      <c r="C20">
        <v>10</v>
      </c>
      <c r="E20" t="s">
        <v>9</v>
      </c>
      <c r="F20" t="s">
        <v>186</v>
      </c>
      <c r="G20">
        <v>1</v>
      </c>
      <c r="H20">
        <v>0.5</v>
      </c>
      <c r="I20">
        <v>0</v>
      </c>
      <c r="J20">
        <v>0.5</v>
      </c>
      <c r="K20" t="s">
        <v>59</v>
      </c>
      <c r="L20" s="18">
        <v>0.44583333333333336</v>
      </c>
      <c r="M20" t="s">
        <v>59</v>
      </c>
      <c r="N20" s="18">
        <v>0.46250000000000002</v>
      </c>
      <c r="O20" t="s">
        <v>11</v>
      </c>
      <c r="P20" t="s">
        <v>14</v>
      </c>
      <c r="Q20" t="s">
        <v>13</v>
      </c>
      <c r="T20" s="18">
        <v>0</v>
      </c>
      <c r="W20" s="18">
        <v>1</v>
      </c>
      <c r="Y20">
        <v>0</v>
      </c>
      <c r="Z20">
        <v>0</v>
      </c>
      <c r="AA20">
        <v>1</v>
      </c>
      <c r="AC20">
        <v>19</v>
      </c>
    </row>
    <row r="21" spans="1:29" x14ac:dyDescent="0.25">
      <c r="A21">
        <v>134271728</v>
      </c>
      <c r="B21">
        <v>2031462350</v>
      </c>
      <c r="C21">
        <v>10</v>
      </c>
      <c r="E21" t="s">
        <v>9</v>
      </c>
      <c r="F21" t="s">
        <v>187</v>
      </c>
      <c r="G21">
        <v>2</v>
      </c>
      <c r="H21">
        <v>8</v>
      </c>
      <c r="I21">
        <v>0</v>
      </c>
      <c r="J21">
        <v>4</v>
      </c>
      <c r="K21" t="s">
        <v>59</v>
      </c>
      <c r="L21" s="18">
        <v>0.60416666666666663</v>
      </c>
      <c r="M21" t="s">
        <v>62</v>
      </c>
      <c r="N21" s="18">
        <v>0.35416666666666669</v>
      </c>
      <c r="O21" t="s">
        <v>11</v>
      </c>
      <c r="P21" t="s">
        <v>14</v>
      </c>
      <c r="Q21" t="s">
        <v>13</v>
      </c>
      <c r="T21" s="18">
        <v>0</v>
      </c>
      <c r="W21" s="19">
        <v>1</v>
      </c>
      <c r="Y21">
        <v>0</v>
      </c>
      <c r="Z21">
        <v>0</v>
      </c>
      <c r="AC21">
        <v>19</v>
      </c>
    </row>
    <row r="22" spans="1:29" x14ac:dyDescent="0.25">
      <c r="A22">
        <v>134570845</v>
      </c>
      <c r="B22">
        <v>2031510558</v>
      </c>
      <c r="C22">
        <v>5</v>
      </c>
      <c r="E22" t="s">
        <v>9</v>
      </c>
      <c r="F22" t="s">
        <v>189</v>
      </c>
      <c r="G22">
        <v>1</v>
      </c>
      <c r="H22">
        <v>2</v>
      </c>
      <c r="I22">
        <v>0</v>
      </c>
      <c r="J22">
        <v>2</v>
      </c>
      <c r="K22" t="s">
        <v>59</v>
      </c>
      <c r="L22" s="18">
        <v>0.37916666666666665</v>
      </c>
      <c r="M22" t="s">
        <v>59</v>
      </c>
      <c r="N22" s="18">
        <v>0.44583333333333336</v>
      </c>
      <c r="O22" t="s">
        <v>11</v>
      </c>
      <c r="P22" t="s">
        <v>14</v>
      </c>
      <c r="Q22" t="s">
        <v>13</v>
      </c>
      <c r="T22" s="18">
        <v>0</v>
      </c>
      <c r="W22" s="18">
        <v>0</v>
      </c>
      <c r="Y22">
        <v>0</v>
      </c>
      <c r="Z22">
        <v>0</v>
      </c>
      <c r="AB22" t="s">
        <v>20</v>
      </c>
      <c r="AC22">
        <v>19</v>
      </c>
    </row>
    <row r="23" spans="1:29" x14ac:dyDescent="0.25">
      <c r="A23">
        <v>134595649</v>
      </c>
      <c r="B23">
        <v>2031513241</v>
      </c>
      <c r="C23">
        <v>80</v>
      </c>
      <c r="E23" t="s">
        <v>9</v>
      </c>
      <c r="F23" t="s">
        <v>190</v>
      </c>
      <c r="G23">
        <v>2</v>
      </c>
      <c r="H23">
        <v>12</v>
      </c>
      <c r="I23">
        <v>0</v>
      </c>
      <c r="J23">
        <v>6</v>
      </c>
      <c r="K23" t="s">
        <v>59</v>
      </c>
      <c r="L23" s="18">
        <v>0.6875</v>
      </c>
      <c r="M23" t="s">
        <v>62</v>
      </c>
      <c r="N23" s="18">
        <v>0.5625</v>
      </c>
      <c r="O23" t="s">
        <v>11</v>
      </c>
      <c r="P23" t="s">
        <v>14</v>
      </c>
      <c r="Q23" t="s">
        <v>13</v>
      </c>
      <c r="T23" s="18">
        <v>0</v>
      </c>
      <c r="W23" s="18">
        <v>0</v>
      </c>
      <c r="Y23">
        <v>0</v>
      </c>
      <c r="Z23">
        <v>0</v>
      </c>
      <c r="AB23" t="s">
        <v>20</v>
      </c>
      <c r="AC23">
        <v>19</v>
      </c>
    </row>
    <row r="24" spans="1:29" x14ac:dyDescent="0.25">
      <c r="A24">
        <v>134597198</v>
      </c>
      <c r="B24">
        <v>2031513241</v>
      </c>
      <c r="C24">
        <v>90</v>
      </c>
      <c r="E24" t="s">
        <v>9</v>
      </c>
      <c r="F24" t="s">
        <v>191</v>
      </c>
      <c r="G24">
        <v>2</v>
      </c>
      <c r="H24">
        <v>16</v>
      </c>
      <c r="I24">
        <v>0</v>
      </c>
      <c r="J24">
        <v>8</v>
      </c>
      <c r="K24" t="s">
        <v>62</v>
      </c>
      <c r="L24" s="18">
        <v>0.5625</v>
      </c>
      <c r="M24" t="s">
        <v>60</v>
      </c>
      <c r="N24" s="18">
        <v>0.47916666666666669</v>
      </c>
      <c r="O24" t="s">
        <v>11</v>
      </c>
      <c r="P24" t="s">
        <v>14</v>
      </c>
      <c r="Q24" t="s">
        <v>13</v>
      </c>
      <c r="T24" s="18">
        <v>0</v>
      </c>
      <c r="W24" s="18">
        <v>0</v>
      </c>
      <c r="Y24">
        <v>0</v>
      </c>
      <c r="Z24">
        <v>0</v>
      </c>
      <c r="AB24" t="s">
        <v>20</v>
      </c>
      <c r="AC24">
        <v>19</v>
      </c>
    </row>
    <row r="25" spans="1:29" x14ac:dyDescent="0.25">
      <c r="A25">
        <v>134810109</v>
      </c>
      <c r="B25">
        <v>2031553115</v>
      </c>
      <c r="C25">
        <v>10</v>
      </c>
      <c r="E25" t="s">
        <v>9</v>
      </c>
      <c r="F25" t="s">
        <v>200</v>
      </c>
      <c r="G25">
        <v>2</v>
      </c>
      <c r="H25">
        <v>6</v>
      </c>
      <c r="I25">
        <v>0</v>
      </c>
      <c r="J25">
        <v>3</v>
      </c>
      <c r="K25" t="s">
        <v>59</v>
      </c>
      <c r="L25" s="18">
        <v>0.3125</v>
      </c>
      <c r="M25" t="s">
        <v>59</v>
      </c>
      <c r="N25" s="18">
        <v>0.4375</v>
      </c>
      <c r="O25" t="s">
        <v>11</v>
      </c>
      <c r="P25" t="s">
        <v>14</v>
      </c>
      <c r="Q25" t="s">
        <v>13</v>
      </c>
      <c r="T25" s="18">
        <v>0</v>
      </c>
      <c r="W25" s="18">
        <v>0</v>
      </c>
      <c r="Y25">
        <v>0</v>
      </c>
      <c r="Z25">
        <v>0</v>
      </c>
      <c r="AB25" t="s">
        <v>20</v>
      </c>
      <c r="AC25">
        <v>19</v>
      </c>
    </row>
    <row r="26" spans="1:29" x14ac:dyDescent="0.25">
      <c r="A26">
        <v>134810114</v>
      </c>
      <c r="B26">
        <v>2031553115</v>
      </c>
      <c r="C26">
        <v>20</v>
      </c>
      <c r="E26" t="s">
        <v>9</v>
      </c>
      <c r="F26" t="s">
        <v>201</v>
      </c>
      <c r="G26">
        <v>2</v>
      </c>
      <c r="H26">
        <v>12</v>
      </c>
      <c r="I26">
        <v>0</v>
      </c>
      <c r="J26">
        <v>6</v>
      </c>
      <c r="K26" t="s">
        <v>59</v>
      </c>
      <c r="L26" s="18">
        <v>0.4375</v>
      </c>
      <c r="M26" t="s">
        <v>59</v>
      </c>
      <c r="N26" s="18">
        <v>0.72916666666666663</v>
      </c>
      <c r="O26" t="s">
        <v>11</v>
      </c>
      <c r="P26" t="s">
        <v>14</v>
      </c>
      <c r="Q26" t="s">
        <v>13</v>
      </c>
      <c r="T26" s="18">
        <v>0</v>
      </c>
      <c r="W26" s="19">
        <v>0</v>
      </c>
      <c r="Y26">
        <v>0</v>
      </c>
      <c r="Z26">
        <v>0</v>
      </c>
      <c r="AB26" t="s">
        <v>20</v>
      </c>
      <c r="AC26">
        <v>19</v>
      </c>
    </row>
    <row r="27" spans="1:29" x14ac:dyDescent="0.25">
      <c r="A27">
        <v>134810117</v>
      </c>
      <c r="B27">
        <v>2031553115</v>
      </c>
      <c r="C27">
        <v>40</v>
      </c>
      <c r="E27" t="s">
        <v>9</v>
      </c>
      <c r="F27" t="s">
        <v>202</v>
      </c>
      <c r="G27">
        <v>2</v>
      </c>
      <c r="H27">
        <v>4</v>
      </c>
      <c r="I27">
        <v>0</v>
      </c>
      <c r="J27">
        <v>2</v>
      </c>
      <c r="K27" t="s">
        <v>62</v>
      </c>
      <c r="L27" s="18">
        <v>0.35416666666666669</v>
      </c>
      <c r="M27" t="s">
        <v>62</v>
      </c>
      <c r="N27" s="18">
        <v>0.4375</v>
      </c>
      <c r="O27" t="s">
        <v>11</v>
      </c>
      <c r="P27" t="s">
        <v>14</v>
      </c>
      <c r="Q27" t="s">
        <v>13</v>
      </c>
      <c r="T27" s="18">
        <v>0</v>
      </c>
      <c r="W27" s="18">
        <v>0</v>
      </c>
      <c r="Y27">
        <v>0</v>
      </c>
      <c r="Z27">
        <v>0</v>
      </c>
      <c r="AB27" t="s">
        <v>20</v>
      </c>
      <c r="AC27">
        <v>19</v>
      </c>
    </row>
    <row r="28" spans="1:29" x14ac:dyDescent="0.25">
      <c r="A28">
        <v>134810118</v>
      </c>
      <c r="B28">
        <v>2031553115</v>
      </c>
      <c r="C28">
        <v>50</v>
      </c>
      <c r="E28" t="s">
        <v>9</v>
      </c>
      <c r="F28" t="s">
        <v>203</v>
      </c>
      <c r="G28">
        <v>2</v>
      </c>
      <c r="H28">
        <v>6</v>
      </c>
      <c r="I28">
        <v>0</v>
      </c>
      <c r="J28">
        <v>3</v>
      </c>
      <c r="K28" t="s">
        <v>62</v>
      </c>
      <c r="L28" s="18">
        <v>0.4375</v>
      </c>
      <c r="M28" t="s">
        <v>62</v>
      </c>
      <c r="N28" s="18">
        <v>0.60416666666666663</v>
      </c>
      <c r="O28" t="s">
        <v>11</v>
      </c>
      <c r="P28" t="s">
        <v>14</v>
      </c>
      <c r="Q28" t="s">
        <v>13</v>
      </c>
      <c r="T28" s="18">
        <v>0</v>
      </c>
      <c r="W28" s="18">
        <v>0</v>
      </c>
      <c r="Y28">
        <v>0</v>
      </c>
      <c r="Z28">
        <v>0</v>
      </c>
      <c r="AB28" t="s">
        <v>20</v>
      </c>
      <c r="AC28">
        <v>19</v>
      </c>
    </row>
    <row r="29" spans="1:29" x14ac:dyDescent="0.25">
      <c r="A29">
        <v>134975183</v>
      </c>
      <c r="B29">
        <v>2031553115</v>
      </c>
      <c r="C29">
        <v>60</v>
      </c>
      <c r="E29" t="s">
        <v>9</v>
      </c>
      <c r="F29" t="s">
        <v>204</v>
      </c>
      <c r="G29">
        <v>1</v>
      </c>
      <c r="H29">
        <v>0.2</v>
      </c>
      <c r="I29">
        <v>0</v>
      </c>
      <c r="J29">
        <v>0.2</v>
      </c>
      <c r="K29" t="s">
        <v>62</v>
      </c>
      <c r="L29" s="18">
        <v>0.60416666666666663</v>
      </c>
      <c r="M29" t="s">
        <v>62</v>
      </c>
      <c r="N29" s="18">
        <v>0.61250000000000004</v>
      </c>
      <c r="O29" t="s">
        <v>11</v>
      </c>
      <c r="P29" t="s">
        <v>14</v>
      </c>
      <c r="Q29" t="s">
        <v>13</v>
      </c>
      <c r="T29" s="18">
        <v>0</v>
      </c>
      <c r="W29" s="18">
        <v>0</v>
      </c>
      <c r="Y29">
        <v>0</v>
      </c>
      <c r="Z29">
        <v>0</v>
      </c>
      <c r="AB29" t="s">
        <v>20</v>
      </c>
      <c r="AC29">
        <v>19</v>
      </c>
    </row>
    <row r="30" spans="1:29" x14ac:dyDescent="0.25">
      <c r="A30">
        <v>134961594</v>
      </c>
      <c r="B30">
        <v>2031576555</v>
      </c>
      <c r="C30">
        <v>20</v>
      </c>
      <c r="E30" t="s">
        <v>9</v>
      </c>
      <c r="F30" t="s">
        <v>205</v>
      </c>
      <c r="G30">
        <v>2</v>
      </c>
      <c r="H30">
        <v>4</v>
      </c>
      <c r="I30">
        <v>0</v>
      </c>
      <c r="J30">
        <v>2</v>
      </c>
      <c r="K30" t="s">
        <v>59</v>
      </c>
      <c r="L30" s="18">
        <v>0</v>
      </c>
      <c r="M30" t="s">
        <v>59</v>
      </c>
      <c r="N30" s="18">
        <v>8.3333333333333329E-2</v>
      </c>
      <c r="O30" t="s">
        <v>11</v>
      </c>
      <c r="P30" t="s">
        <v>14</v>
      </c>
      <c r="Q30" t="s">
        <v>13</v>
      </c>
      <c r="T30" s="18">
        <v>0</v>
      </c>
      <c r="W30" s="18">
        <v>0</v>
      </c>
      <c r="Y30">
        <v>0</v>
      </c>
      <c r="Z30">
        <v>0</v>
      </c>
      <c r="AC30">
        <v>19</v>
      </c>
    </row>
    <row r="31" spans="1:29" x14ac:dyDescent="0.25">
      <c r="A31">
        <v>135023645</v>
      </c>
      <c r="B31">
        <v>2031576555</v>
      </c>
      <c r="C31">
        <v>25</v>
      </c>
      <c r="E31" t="s">
        <v>9</v>
      </c>
      <c r="F31" t="s">
        <v>206</v>
      </c>
      <c r="G31">
        <v>2</v>
      </c>
      <c r="H31">
        <v>8</v>
      </c>
      <c r="I31">
        <v>0</v>
      </c>
      <c r="J31">
        <v>4</v>
      </c>
      <c r="K31" t="s">
        <v>59</v>
      </c>
      <c r="L31" s="18">
        <v>0</v>
      </c>
      <c r="M31" t="s">
        <v>59</v>
      </c>
      <c r="N31" s="18">
        <v>0.16666666666666666</v>
      </c>
      <c r="O31" t="s">
        <v>11</v>
      </c>
      <c r="P31" t="s">
        <v>14</v>
      </c>
      <c r="Q31" t="s">
        <v>13</v>
      </c>
      <c r="T31" s="18">
        <v>0</v>
      </c>
      <c r="W31" s="18">
        <v>0</v>
      </c>
      <c r="Y31">
        <v>0</v>
      </c>
      <c r="Z31">
        <v>0</v>
      </c>
      <c r="AC31">
        <v>19</v>
      </c>
    </row>
    <row r="32" spans="1:29" x14ac:dyDescent="0.25">
      <c r="A32">
        <v>134961606</v>
      </c>
      <c r="B32">
        <v>2031576555</v>
      </c>
      <c r="C32">
        <v>30</v>
      </c>
      <c r="E32" t="s">
        <v>9</v>
      </c>
      <c r="F32" t="s">
        <v>207</v>
      </c>
      <c r="G32">
        <v>2</v>
      </c>
      <c r="H32">
        <v>8</v>
      </c>
      <c r="I32">
        <v>0</v>
      </c>
      <c r="J32">
        <v>4</v>
      </c>
      <c r="K32" t="s">
        <v>59</v>
      </c>
      <c r="L32" s="18">
        <v>8.3333333333333332E-3</v>
      </c>
      <c r="M32" t="s">
        <v>59</v>
      </c>
      <c r="N32" s="18">
        <v>0.17499999999999999</v>
      </c>
      <c r="O32" t="s">
        <v>11</v>
      </c>
      <c r="P32" t="s">
        <v>14</v>
      </c>
      <c r="Q32" t="s">
        <v>13</v>
      </c>
      <c r="T32" s="18">
        <v>0</v>
      </c>
      <c r="W32" s="18">
        <v>0</v>
      </c>
      <c r="Y32">
        <v>0</v>
      </c>
      <c r="Z32">
        <v>0</v>
      </c>
      <c r="AC32">
        <v>19</v>
      </c>
    </row>
    <row r="33" spans="1:29" x14ac:dyDescent="0.25">
      <c r="A33">
        <v>134943851</v>
      </c>
      <c r="B33">
        <v>2031576556</v>
      </c>
      <c r="C33">
        <v>10</v>
      </c>
      <c r="E33" t="s">
        <v>9</v>
      </c>
      <c r="F33" t="s">
        <v>208</v>
      </c>
      <c r="G33">
        <v>2</v>
      </c>
      <c r="H33">
        <v>8</v>
      </c>
      <c r="I33">
        <v>0</v>
      </c>
      <c r="J33">
        <v>4</v>
      </c>
      <c r="K33" t="s">
        <v>59</v>
      </c>
      <c r="L33" s="18">
        <v>0</v>
      </c>
      <c r="M33" t="s">
        <v>59</v>
      </c>
      <c r="N33" s="18">
        <v>0.16666666666666666</v>
      </c>
      <c r="O33" t="s">
        <v>11</v>
      </c>
      <c r="P33" t="s">
        <v>14</v>
      </c>
      <c r="Q33" t="s">
        <v>13</v>
      </c>
      <c r="T33" s="18">
        <v>0</v>
      </c>
      <c r="W33" s="18">
        <v>0</v>
      </c>
      <c r="Y33">
        <v>0</v>
      </c>
      <c r="Z33">
        <v>0</v>
      </c>
      <c r="AC33">
        <v>19</v>
      </c>
    </row>
    <row r="34" spans="1:29" x14ac:dyDescent="0.25">
      <c r="A34">
        <v>134963620</v>
      </c>
      <c r="B34">
        <v>2031576556</v>
      </c>
      <c r="C34">
        <v>30</v>
      </c>
      <c r="E34" t="s">
        <v>9</v>
      </c>
      <c r="F34" t="s">
        <v>209</v>
      </c>
      <c r="G34">
        <v>2</v>
      </c>
      <c r="H34">
        <v>8</v>
      </c>
      <c r="I34">
        <v>0</v>
      </c>
      <c r="J34">
        <v>4</v>
      </c>
      <c r="K34" t="s">
        <v>59</v>
      </c>
      <c r="L34" s="18">
        <v>0</v>
      </c>
      <c r="M34" t="s">
        <v>59</v>
      </c>
      <c r="N34" s="18">
        <v>0.16666666666666666</v>
      </c>
      <c r="O34" t="s">
        <v>11</v>
      </c>
      <c r="P34" t="s">
        <v>14</v>
      </c>
      <c r="Q34" t="s">
        <v>13</v>
      </c>
      <c r="T34" s="18">
        <v>0</v>
      </c>
      <c r="W34" s="18">
        <v>0</v>
      </c>
      <c r="Y34">
        <v>0</v>
      </c>
      <c r="Z34">
        <v>0</v>
      </c>
      <c r="AC34">
        <v>19</v>
      </c>
    </row>
    <row r="35" spans="1:29" x14ac:dyDescent="0.25">
      <c r="A35">
        <v>134963621</v>
      </c>
      <c r="B35">
        <v>2031576556</v>
      </c>
      <c r="C35">
        <v>40</v>
      </c>
      <c r="E35" t="s">
        <v>9</v>
      </c>
      <c r="F35" t="s">
        <v>210</v>
      </c>
      <c r="G35">
        <v>1</v>
      </c>
      <c r="H35">
        <v>0.2</v>
      </c>
      <c r="I35">
        <v>0</v>
      </c>
      <c r="J35">
        <v>0.2</v>
      </c>
      <c r="K35" t="s">
        <v>59</v>
      </c>
      <c r="L35" s="18">
        <v>0</v>
      </c>
      <c r="M35" t="s">
        <v>59</v>
      </c>
      <c r="N35" s="18">
        <v>8.3333333333333332E-3</v>
      </c>
      <c r="O35" t="s">
        <v>11</v>
      </c>
      <c r="P35" t="s">
        <v>14</v>
      </c>
      <c r="Q35" t="s">
        <v>13</v>
      </c>
      <c r="T35" s="18">
        <v>0</v>
      </c>
      <c r="W35" s="18">
        <v>0</v>
      </c>
      <c r="Y35">
        <v>0</v>
      </c>
      <c r="Z35">
        <v>0</v>
      </c>
      <c r="AC35">
        <v>19</v>
      </c>
    </row>
    <row r="36" spans="1:29" x14ac:dyDescent="0.25">
      <c r="A36">
        <v>135004252</v>
      </c>
      <c r="B36">
        <v>2031586819</v>
      </c>
      <c r="C36">
        <v>20</v>
      </c>
      <c r="E36" t="s">
        <v>9</v>
      </c>
      <c r="F36" t="s">
        <v>223</v>
      </c>
      <c r="G36">
        <v>2</v>
      </c>
      <c r="H36">
        <v>4</v>
      </c>
      <c r="I36">
        <v>0</v>
      </c>
      <c r="J36">
        <v>2</v>
      </c>
      <c r="K36" t="s">
        <v>59</v>
      </c>
      <c r="L36" s="18">
        <v>0.4375</v>
      </c>
      <c r="M36" t="s">
        <v>59</v>
      </c>
      <c r="N36" s="18">
        <v>0.5625</v>
      </c>
      <c r="O36" t="s">
        <v>11</v>
      </c>
      <c r="P36" t="s">
        <v>14</v>
      </c>
      <c r="Q36" t="s">
        <v>13</v>
      </c>
      <c r="T36" s="18">
        <v>0</v>
      </c>
      <c r="W36" s="18">
        <v>0</v>
      </c>
      <c r="Y36">
        <v>0</v>
      </c>
      <c r="Z36">
        <v>0</v>
      </c>
      <c r="AB36" t="s">
        <v>20</v>
      </c>
      <c r="AC36">
        <v>19</v>
      </c>
    </row>
    <row r="37" spans="1:29" x14ac:dyDescent="0.25">
      <c r="L37" s="18"/>
      <c r="N37" s="18"/>
      <c r="T37" s="18"/>
      <c r="W37" s="18"/>
    </row>
    <row r="38" spans="1:29" x14ac:dyDescent="0.25">
      <c r="L38" s="18"/>
      <c r="N38" s="18"/>
      <c r="T38" s="18"/>
      <c r="W38" s="18"/>
    </row>
    <row r="39" spans="1:29" x14ac:dyDescent="0.25">
      <c r="L39" s="18"/>
      <c r="N39" s="18"/>
      <c r="T39" s="18"/>
      <c r="W39" s="18"/>
    </row>
    <row r="40" spans="1:29" x14ac:dyDescent="0.25">
      <c r="L40" s="18"/>
      <c r="N40" s="18"/>
      <c r="T40" s="18"/>
      <c r="W40" s="18"/>
    </row>
    <row r="41" spans="1:29" x14ac:dyDescent="0.25">
      <c r="L41" s="18"/>
      <c r="N41" s="18"/>
      <c r="T41" s="18"/>
      <c r="W41" s="18"/>
    </row>
    <row r="42" spans="1:29" x14ac:dyDescent="0.25">
      <c r="L42" s="18"/>
      <c r="N42" s="18"/>
      <c r="T42" s="18"/>
      <c r="W42" s="18"/>
    </row>
    <row r="43" spans="1:29" x14ac:dyDescent="0.25">
      <c r="L43" s="18"/>
      <c r="N43" s="18"/>
      <c r="T43" s="18"/>
      <c r="W43" s="18"/>
    </row>
    <row r="44" spans="1:29" x14ac:dyDescent="0.25">
      <c r="L44" s="18"/>
      <c r="N44" s="18"/>
      <c r="T44" s="18"/>
      <c r="W44" s="18"/>
    </row>
    <row r="45" spans="1:29" x14ac:dyDescent="0.25">
      <c r="L45" s="18"/>
      <c r="N45" s="18"/>
      <c r="T45" s="18"/>
      <c r="W45" s="18"/>
    </row>
    <row r="46" spans="1:29" x14ac:dyDescent="0.25">
      <c r="L46" s="18"/>
      <c r="N46" s="18"/>
      <c r="T46" s="18"/>
      <c r="W46" s="18"/>
    </row>
    <row r="47" spans="1:29" x14ac:dyDescent="0.25">
      <c r="L47" s="18"/>
      <c r="N47" s="18"/>
      <c r="T47" s="18"/>
      <c r="W47" s="18"/>
    </row>
    <row r="48" spans="1:29" x14ac:dyDescent="0.25">
      <c r="L48" s="18"/>
      <c r="N48" s="18"/>
      <c r="T48" s="18"/>
      <c r="W48" s="18"/>
    </row>
    <row r="49" spans="12:23" x14ac:dyDescent="0.25">
      <c r="L49" s="18"/>
      <c r="N49" s="18"/>
      <c r="T49" s="18"/>
      <c r="W49" s="18"/>
    </row>
    <row r="50" spans="12:23" x14ac:dyDescent="0.25">
      <c r="L50" s="18"/>
      <c r="N50" s="18"/>
      <c r="T50" s="18"/>
      <c r="W50" s="18"/>
    </row>
    <row r="51" spans="12:23" x14ac:dyDescent="0.25">
      <c r="L51" s="18"/>
      <c r="N51" s="18"/>
      <c r="T51" s="18"/>
      <c r="W51" s="18"/>
    </row>
    <row r="52" spans="12:23" x14ac:dyDescent="0.25">
      <c r="L52" s="18"/>
      <c r="N52" s="18"/>
      <c r="T52" s="18"/>
      <c r="W52" s="19"/>
    </row>
    <row r="53" spans="12:23" x14ac:dyDescent="0.25">
      <c r="L53" s="18"/>
      <c r="N53" s="18"/>
      <c r="T53" s="18"/>
      <c r="W53" s="18"/>
    </row>
    <row r="54" spans="12:23" x14ac:dyDescent="0.25">
      <c r="L54" s="18"/>
      <c r="N54" s="18"/>
      <c r="T54" s="18"/>
      <c r="W54" s="18"/>
    </row>
    <row r="55" spans="12:23" x14ac:dyDescent="0.25">
      <c r="L55" s="18"/>
      <c r="N55" s="18"/>
      <c r="T55" s="18"/>
      <c r="W55" s="18"/>
    </row>
    <row r="56" spans="12:23" x14ac:dyDescent="0.25">
      <c r="L56" s="18"/>
      <c r="N56" s="18"/>
      <c r="T56" s="18"/>
      <c r="W56" s="18"/>
    </row>
    <row r="57" spans="12:23" x14ac:dyDescent="0.25">
      <c r="L57" s="18"/>
      <c r="N57" s="18"/>
      <c r="T57" s="18"/>
      <c r="W57" s="18"/>
    </row>
    <row r="58" spans="12:23" x14ac:dyDescent="0.25">
      <c r="L58" s="18"/>
      <c r="N58" s="18"/>
      <c r="T58" s="18"/>
      <c r="W58" s="18"/>
    </row>
    <row r="59" spans="12:23" x14ac:dyDescent="0.25">
      <c r="L59" s="18"/>
      <c r="N59" s="18"/>
      <c r="T59" s="18"/>
      <c r="W59" s="18"/>
    </row>
    <row r="60" spans="12:23" x14ac:dyDescent="0.25">
      <c r="L60" s="18"/>
      <c r="N60" s="18"/>
      <c r="T60" s="18"/>
      <c r="W60" s="18"/>
    </row>
    <row r="61" spans="12:23" x14ac:dyDescent="0.25">
      <c r="L61" s="18"/>
      <c r="N61" s="18"/>
      <c r="T61" s="18"/>
      <c r="W61" s="18"/>
    </row>
    <row r="62" spans="12:23" x14ac:dyDescent="0.25">
      <c r="L62" s="18"/>
      <c r="N62" s="18"/>
      <c r="T62" s="18"/>
      <c r="W62" s="18"/>
    </row>
    <row r="63" spans="12:23" x14ac:dyDescent="0.25">
      <c r="L63" s="18"/>
      <c r="N63" s="18"/>
      <c r="T63" s="18"/>
      <c r="W63" s="18"/>
    </row>
    <row r="64" spans="12:23" x14ac:dyDescent="0.25">
      <c r="L64" s="18"/>
      <c r="N64" s="18"/>
      <c r="T64" s="18"/>
      <c r="W64" s="18"/>
    </row>
    <row r="65" spans="12:23" x14ac:dyDescent="0.25">
      <c r="L65" s="18"/>
      <c r="N65" s="18"/>
      <c r="T65" s="18"/>
      <c r="W65" s="18"/>
    </row>
    <row r="66" spans="12:23" x14ac:dyDescent="0.25">
      <c r="L66" s="18"/>
      <c r="N66" s="18"/>
      <c r="T66" s="18"/>
      <c r="W66" s="18"/>
    </row>
    <row r="67" spans="12:23" x14ac:dyDescent="0.25">
      <c r="L67" s="18"/>
      <c r="N67" s="18"/>
      <c r="T67" s="18"/>
      <c r="W67" s="18"/>
    </row>
    <row r="68" spans="12:23" x14ac:dyDescent="0.25">
      <c r="L68" s="18"/>
      <c r="N68" s="18"/>
      <c r="T68" s="18"/>
      <c r="W68" s="18"/>
    </row>
    <row r="69" spans="12:23" x14ac:dyDescent="0.25">
      <c r="L69" s="18"/>
      <c r="N69" s="18"/>
      <c r="T69" s="18"/>
      <c r="W69" s="18"/>
    </row>
    <row r="70" spans="12:23" x14ac:dyDescent="0.25">
      <c r="L70" s="18"/>
      <c r="N70" s="18"/>
      <c r="T70" s="18"/>
      <c r="W70" s="18"/>
    </row>
    <row r="71" spans="12:23" x14ac:dyDescent="0.25">
      <c r="L71" s="18"/>
      <c r="N71" s="18"/>
      <c r="T71" s="18"/>
      <c r="W71" s="18"/>
    </row>
    <row r="72" spans="12:23" x14ac:dyDescent="0.25">
      <c r="L72" s="18"/>
      <c r="N72" s="18"/>
      <c r="T72" s="18"/>
      <c r="W72" s="18"/>
    </row>
    <row r="73" spans="12:23" x14ac:dyDescent="0.25">
      <c r="L73" s="18"/>
      <c r="N73" s="18"/>
      <c r="T73" s="18"/>
      <c r="W73" s="18"/>
    </row>
    <row r="74" spans="12:23" x14ac:dyDescent="0.25">
      <c r="L74" s="18"/>
      <c r="N74" s="18"/>
      <c r="T74" s="18"/>
      <c r="W74" s="18"/>
    </row>
    <row r="75" spans="12:23" x14ac:dyDescent="0.25">
      <c r="L75" s="18"/>
      <c r="N75" s="18"/>
      <c r="T75" s="18"/>
      <c r="W75" s="19"/>
    </row>
    <row r="76" spans="12:23" x14ac:dyDescent="0.25">
      <c r="L76" s="18"/>
      <c r="N76" s="18"/>
      <c r="T76" s="18"/>
      <c r="W76" s="18"/>
    </row>
    <row r="77" spans="12:23" x14ac:dyDescent="0.25">
      <c r="L77" s="18"/>
      <c r="N77" s="18"/>
      <c r="T77" s="18"/>
      <c r="W77" s="18"/>
    </row>
    <row r="78" spans="12:23" x14ac:dyDescent="0.25">
      <c r="L78" s="18"/>
      <c r="N78" s="18"/>
      <c r="T78" s="18"/>
      <c r="W78" s="18"/>
    </row>
    <row r="79" spans="12:23" x14ac:dyDescent="0.25">
      <c r="L79" s="18"/>
      <c r="N79" s="18"/>
      <c r="T79" s="18"/>
      <c r="W79" s="18"/>
    </row>
    <row r="80" spans="12:23" x14ac:dyDescent="0.25">
      <c r="L80" s="18"/>
      <c r="N80" s="18"/>
      <c r="T80" s="18"/>
      <c r="W80" s="18"/>
    </row>
    <row r="81" spans="12:23" x14ac:dyDescent="0.25">
      <c r="L81" s="18"/>
      <c r="N81" s="18"/>
      <c r="T81" s="18"/>
      <c r="W81" s="18"/>
    </row>
    <row r="82" spans="12:23" x14ac:dyDescent="0.25">
      <c r="L82" s="18"/>
      <c r="N82" s="18"/>
      <c r="T82" s="18"/>
      <c r="W82" s="18"/>
    </row>
    <row r="83" spans="12:23" x14ac:dyDescent="0.25">
      <c r="L83" s="18"/>
      <c r="N83" s="18"/>
      <c r="T83" s="18"/>
      <c r="W83" s="18"/>
    </row>
    <row r="84" spans="12:23" x14ac:dyDescent="0.25">
      <c r="L84" s="18"/>
      <c r="N84" s="18"/>
      <c r="T84" s="18"/>
      <c r="W84" s="18"/>
    </row>
    <row r="85" spans="12:23" x14ac:dyDescent="0.25">
      <c r="L85" s="18"/>
      <c r="N85" s="18"/>
      <c r="T85" s="18"/>
      <c r="W85" s="18"/>
    </row>
    <row r="86" spans="12:23" x14ac:dyDescent="0.25">
      <c r="L86" s="18"/>
      <c r="N86" s="18"/>
      <c r="T86" s="18"/>
      <c r="W86" s="18"/>
    </row>
    <row r="87" spans="12:23" x14ac:dyDescent="0.25">
      <c r="L87" s="18"/>
      <c r="N87" s="18"/>
      <c r="T87" s="18"/>
      <c r="W87" s="18"/>
    </row>
    <row r="88" spans="12:23" x14ac:dyDescent="0.25">
      <c r="L88" s="18"/>
      <c r="N88" s="18"/>
      <c r="T88" s="18"/>
      <c r="W88" s="18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C153-EA27-4561-91FE-F341116B1294}">
  <sheetPr codeName="Planilha7">
    <tabColor rgb="FF00B0F0"/>
  </sheetPr>
  <dimension ref="A1:AC53"/>
  <sheetViews>
    <sheetView workbookViewId="0">
      <selection activeCell="F18" sqref="F18"/>
    </sheetView>
  </sheetViews>
  <sheetFormatPr defaultRowHeight="15" x14ac:dyDescent="0.25"/>
  <cols>
    <col min="1" max="1" width="10" bestFit="1" customWidth="1"/>
    <col min="2" max="2" width="11" bestFit="1" customWidth="1"/>
    <col min="3" max="3" width="5.42578125" bestFit="1" customWidth="1"/>
    <col min="4" max="4" width="6.7109375" bestFit="1" customWidth="1"/>
    <col min="5" max="5" width="11.140625" bestFit="1" customWidth="1"/>
    <col min="6" max="6" width="42.140625" bestFit="1" customWidth="1"/>
    <col min="7" max="7" width="11.140625" bestFit="1" customWidth="1"/>
    <col min="8" max="8" width="8.7109375" bestFit="1" customWidth="1"/>
    <col min="9" max="9" width="7.85546875" bestFit="1" customWidth="1"/>
    <col min="10" max="10" width="8.42578125" bestFit="1" customWidth="1"/>
    <col min="11" max="11" width="10.140625" bestFit="1" customWidth="1"/>
    <col min="12" max="12" width="8.140625" bestFit="1" customWidth="1"/>
    <col min="13" max="13" width="10.140625" bestFit="1" customWidth="1"/>
    <col min="14" max="14" width="8.140625" bestFit="1" customWidth="1"/>
    <col min="15" max="15" width="10.7109375" bestFit="1" customWidth="1"/>
    <col min="16" max="16" width="22.42578125" bestFit="1" customWidth="1"/>
    <col min="17" max="17" width="5.5703125" bestFit="1" customWidth="1"/>
    <col min="20" max="20" width="8.140625" bestFit="1" customWidth="1"/>
    <col min="23" max="23" width="8.140625" bestFit="1" customWidth="1"/>
    <col min="24" max="24" width="2.140625" bestFit="1" customWidth="1"/>
    <col min="25" max="27" width="2" bestFit="1" customWidth="1"/>
    <col min="28" max="28" width="14" bestFit="1" customWidth="1"/>
    <col min="29" max="29" width="3" bestFit="1" customWidth="1"/>
  </cols>
  <sheetData>
    <row r="1" spans="1:29" ht="15.75" thickBot="1" x14ac:dyDescent="0.3">
      <c r="H1">
        <f>SUM(H3:H1048576)</f>
        <v>514</v>
      </c>
    </row>
    <row r="2" spans="1:29" s="30" customFormat="1" ht="15.75" thickBot="1" x14ac:dyDescent="0.3">
      <c r="A2" s="27" t="s">
        <v>28</v>
      </c>
      <c r="B2" s="28" t="s">
        <v>27</v>
      </c>
      <c r="C2" s="28" t="s">
        <v>26</v>
      </c>
      <c r="D2" s="28" t="s">
        <v>29</v>
      </c>
      <c r="E2" s="28" t="s">
        <v>30</v>
      </c>
      <c r="F2" s="28" t="s">
        <v>31</v>
      </c>
      <c r="G2" s="28" t="s">
        <v>32</v>
      </c>
      <c r="H2" s="28" t="s">
        <v>33</v>
      </c>
      <c r="I2" s="28" t="s">
        <v>34</v>
      </c>
      <c r="J2" s="29" t="s">
        <v>35</v>
      </c>
      <c r="K2" s="31"/>
    </row>
    <row r="3" spans="1:29" x14ac:dyDescent="0.25">
      <c r="A3">
        <v>101245876</v>
      </c>
      <c r="B3">
        <v>2025895895</v>
      </c>
      <c r="C3">
        <v>120</v>
      </c>
      <c r="E3" t="s">
        <v>10</v>
      </c>
      <c r="F3" t="s">
        <v>226</v>
      </c>
      <c r="G3">
        <v>4</v>
      </c>
      <c r="H3">
        <v>12</v>
      </c>
      <c r="I3">
        <v>0</v>
      </c>
      <c r="J3">
        <v>3</v>
      </c>
      <c r="K3" t="s">
        <v>88</v>
      </c>
      <c r="L3" s="18">
        <v>0.32916666666666666</v>
      </c>
      <c r="M3" t="s">
        <v>88</v>
      </c>
      <c r="N3" s="18">
        <v>0.42916666666666664</v>
      </c>
      <c r="O3" t="s">
        <v>39</v>
      </c>
      <c r="P3" t="s">
        <v>227</v>
      </c>
      <c r="Q3" t="s">
        <v>13</v>
      </c>
      <c r="T3" s="18">
        <v>0</v>
      </c>
      <c r="W3" s="18">
        <v>0</v>
      </c>
      <c r="Y3">
        <v>0</v>
      </c>
      <c r="Z3">
        <v>0</v>
      </c>
      <c r="AA3">
        <v>2</v>
      </c>
      <c r="AB3" t="s">
        <v>20</v>
      </c>
      <c r="AC3">
        <v>19</v>
      </c>
    </row>
    <row r="4" spans="1:29" x14ac:dyDescent="0.25">
      <c r="A4">
        <v>101274468</v>
      </c>
      <c r="B4">
        <v>2025895895</v>
      </c>
      <c r="C4">
        <v>130</v>
      </c>
      <c r="E4" t="s">
        <v>10</v>
      </c>
      <c r="F4" t="s">
        <v>228</v>
      </c>
      <c r="G4">
        <v>4</v>
      </c>
      <c r="H4">
        <v>8</v>
      </c>
      <c r="I4">
        <v>0</v>
      </c>
      <c r="J4">
        <v>2</v>
      </c>
      <c r="K4" t="s">
        <v>88</v>
      </c>
      <c r="L4" s="18">
        <v>0.42916666666666664</v>
      </c>
      <c r="M4" t="s">
        <v>88</v>
      </c>
      <c r="N4" s="18">
        <v>0.49583333333333335</v>
      </c>
      <c r="O4" t="s">
        <v>39</v>
      </c>
      <c r="P4" t="s">
        <v>227</v>
      </c>
      <c r="Q4" t="s">
        <v>13</v>
      </c>
      <c r="T4" s="18">
        <v>0</v>
      </c>
      <c r="W4" s="18">
        <v>0</v>
      </c>
      <c r="Y4">
        <v>0</v>
      </c>
      <c r="Z4">
        <v>0</v>
      </c>
      <c r="AA4">
        <v>2</v>
      </c>
      <c r="AB4" t="s">
        <v>20</v>
      </c>
      <c r="AC4">
        <v>19</v>
      </c>
    </row>
    <row r="5" spans="1:29" x14ac:dyDescent="0.25">
      <c r="A5">
        <v>111483686</v>
      </c>
      <c r="B5">
        <v>2027857458</v>
      </c>
      <c r="C5">
        <v>10</v>
      </c>
      <c r="E5" t="s">
        <v>10</v>
      </c>
      <c r="F5" t="s">
        <v>229</v>
      </c>
      <c r="G5">
        <v>4</v>
      </c>
      <c r="H5">
        <v>16</v>
      </c>
      <c r="I5">
        <v>0</v>
      </c>
      <c r="J5">
        <v>4</v>
      </c>
      <c r="K5" t="s">
        <v>59</v>
      </c>
      <c r="L5" s="18">
        <v>0.36249999999999999</v>
      </c>
      <c r="M5" t="s">
        <v>59</v>
      </c>
      <c r="N5" s="18">
        <v>0.49583333333333335</v>
      </c>
      <c r="O5" t="s">
        <v>40</v>
      </c>
      <c r="P5" t="s">
        <v>16</v>
      </c>
      <c r="Q5" t="s">
        <v>13</v>
      </c>
      <c r="T5" s="18">
        <v>0</v>
      </c>
      <c r="W5" s="18">
        <v>0</v>
      </c>
      <c r="Y5">
        <v>0</v>
      </c>
      <c r="Z5">
        <v>0</v>
      </c>
      <c r="AA5">
        <v>2</v>
      </c>
      <c r="AB5" t="s">
        <v>20</v>
      </c>
      <c r="AC5">
        <v>19</v>
      </c>
    </row>
    <row r="6" spans="1:29" x14ac:dyDescent="0.25">
      <c r="A6">
        <v>111676873</v>
      </c>
      <c r="B6">
        <v>2027857458</v>
      </c>
      <c r="C6">
        <v>30</v>
      </c>
      <c r="E6" t="s">
        <v>10</v>
      </c>
      <c r="F6" t="s">
        <v>230</v>
      </c>
      <c r="G6">
        <v>4</v>
      </c>
      <c r="H6">
        <v>8</v>
      </c>
      <c r="I6">
        <v>0</v>
      </c>
      <c r="J6">
        <v>2</v>
      </c>
      <c r="K6" t="s">
        <v>59</v>
      </c>
      <c r="L6" s="18">
        <v>0.69414351851851852</v>
      </c>
      <c r="M6" t="s">
        <v>62</v>
      </c>
      <c r="N6" s="18">
        <v>0.34414351851851854</v>
      </c>
      <c r="O6" t="s">
        <v>40</v>
      </c>
      <c r="P6" t="s">
        <v>16</v>
      </c>
      <c r="Q6" t="s">
        <v>13</v>
      </c>
      <c r="T6" s="18">
        <v>0</v>
      </c>
      <c r="W6" s="19">
        <v>0</v>
      </c>
      <c r="Y6">
        <v>0</v>
      </c>
      <c r="Z6">
        <v>0</v>
      </c>
      <c r="AA6">
        <v>2</v>
      </c>
      <c r="AB6" t="s">
        <v>20</v>
      </c>
      <c r="AC6">
        <v>19</v>
      </c>
    </row>
    <row r="7" spans="1:29" x14ac:dyDescent="0.25">
      <c r="A7">
        <v>119965586</v>
      </c>
      <c r="B7">
        <v>2029184556</v>
      </c>
      <c r="C7">
        <v>160</v>
      </c>
      <c r="E7" t="s">
        <v>10</v>
      </c>
      <c r="F7" t="s">
        <v>234</v>
      </c>
      <c r="G7">
        <v>4</v>
      </c>
      <c r="H7">
        <v>8</v>
      </c>
      <c r="I7">
        <v>0</v>
      </c>
      <c r="J7">
        <v>2</v>
      </c>
      <c r="K7" t="s">
        <v>59</v>
      </c>
      <c r="L7" s="18">
        <v>0.3125</v>
      </c>
      <c r="M7" t="s">
        <v>59</v>
      </c>
      <c r="N7" s="18">
        <v>0.37916666666666665</v>
      </c>
      <c r="O7" t="s">
        <v>11</v>
      </c>
      <c r="P7" t="s">
        <v>14</v>
      </c>
      <c r="Q7" t="s">
        <v>13</v>
      </c>
      <c r="T7" s="18">
        <v>0</v>
      </c>
      <c r="W7" s="19">
        <v>0</v>
      </c>
      <c r="Y7">
        <v>0</v>
      </c>
      <c r="Z7">
        <v>0</v>
      </c>
      <c r="AA7">
        <v>2</v>
      </c>
      <c r="AC7">
        <v>19</v>
      </c>
    </row>
    <row r="8" spans="1:29" x14ac:dyDescent="0.25">
      <c r="A8">
        <v>119965587</v>
      </c>
      <c r="B8">
        <v>2029184556</v>
      </c>
      <c r="C8">
        <v>170</v>
      </c>
      <c r="E8" t="s">
        <v>10</v>
      </c>
      <c r="F8" t="s">
        <v>235</v>
      </c>
      <c r="G8">
        <v>4</v>
      </c>
      <c r="H8">
        <v>8</v>
      </c>
      <c r="I8">
        <v>0</v>
      </c>
      <c r="J8">
        <v>2</v>
      </c>
      <c r="K8" t="s">
        <v>59</v>
      </c>
      <c r="L8" s="18">
        <v>0.37916666666666665</v>
      </c>
      <c r="M8" t="s">
        <v>59</v>
      </c>
      <c r="N8" s="18">
        <v>0.44583333333333336</v>
      </c>
      <c r="O8" t="s">
        <v>11</v>
      </c>
      <c r="P8" t="s">
        <v>14</v>
      </c>
      <c r="Q8" t="s">
        <v>13</v>
      </c>
      <c r="T8" s="18">
        <v>0</v>
      </c>
      <c r="W8" s="18">
        <v>0</v>
      </c>
      <c r="Y8">
        <v>0</v>
      </c>
      <c r="Z8">
        <v>0</v>
      </c>
      <c r="AA8">
        <v>2</v>
      </c>
      <c r="AC8">
        <v>19</v>
      </c>
    </row>
    <row r="9" spans="1:29" x14ac:dyDescent="0.25">
      <c r="A9">
        <v>124391803</v>
      </c>
      <c r="B9">
        <v>2029940126</v>
      </c>
      <c r="C9">
        <v>49</v>
      </c>
      <c r="E9" t="s">
        <v>10</v>
      </c>
      <c r="F9" t="s">
        <v>237</v>
      </c>
      <c r="G9">
        <v>4</v>
      </c>
      <c r="H9">
        <v>16</v>
      </c>
      <c r="I9">
        <v>0</v>
      </c>
      <c r="J9">
        <v>4</v>
      </c>
      <c r="K9" t="s">
        <v>60</v>
      </c>
      <c r="L9" s="18">
        <v>0.54166666666666663</v>
      </c>
      <c r="M9" t="s">
        <v>60</v>
      </c>
      <c r="N9" s="18">
        <v>0.70833333333333337</v>
      </c>
      <c r="O9" t="s">
        <v>11</v>
      </c>
      <c r="P9" t="s">
        <v>14</v>
      </c>
      <c r="Q9" t="s">
        <v>13</v>
      </c>
      <c r="T9" s="18">
        <v>0</v>
      </c>
      <c r="W9" s="18">
        <v>0</v>
      </c>
      <c r="Y9">
        <v>0</v>
      </c>
      <c r="Z9">
        <v>0</v>
      </c>
      <c r="AB9" t="s">
        <v>20</v>
      </c>
      <c r="AC9">
        <v>19</v>
      </c>
    </row>
    <row r="10" spans="1:29" x14ac:dyDescent="0.25">
      <c r="A10">
        <v>125302646</v>
      </c>
      <c r="B10">
        <v>2029940126</v>
      </c>
      <c r="C10">
        <v>50</v>
      </c>
      <c r="E10" t="s">
        <v>10</v>
      </c>
      <c r="F10" t="s">
        <v>238</v>
      </c>
      <c r="G10">
        <v>4</v>
      </c>
      <c r="H10">
        <v>16</v>
      </c>
      <c r="I10">
        <v>0</v>
      </c>
      <c r="J10">
        <v>4</v>
      </c>
      <c r="K10" t="s">
        <v>60</v>
      </c>
      <c r="L10" s="18">
        <v>0.70833333333333337</v>
      </c>
      <c r="M10" t="s">
        <v>72</v>
      </c>
      <c r="N10" s="18">
        <v>0.45833333333333331</v>
      </c>
      <c r="O10" t="s">
        <v>11</v>
      </c>
      <c r="P10" t="s">
        <v>14</v>
      </c>
      <c r="Q10" t="s">
        <v>13</v>
      </c>
      <c r="T10" s="18">
        <v>0</v>
      </c>
      <c r="W10" s="18">
        <v>0</v>
      </c>
      <c r="Y10">
        <v>0</v>
      </c>
      <c r="Z10">
        <v>0</v>
      </c>
      <c r="AB10" t="s">
        <v>20</v>
      </c>
      <c r="AC10">
        <v>19</v>
      </c>
    </row>
    <row r="11" spans="1:29" x14ac:dyDescent="0.25">
      <c r="A11">
        <v>126132459</v>
      </c>
      <c r="B11">
        <v>2030210738</v>
      </c>
      <c r="C11">
        <v>46</v>
      </c>
      <c r="E11" t="s">
        <v>10</v>
      </c>
      <c r="F11" t="s">
        <v>239</v>
      </c>
      <c r="G11">
        <v>4</v>
      </c>
      <c r="H11">
        <v>8</v>
      </c>
      <c r="I11">
        <v>0</v>
      </c>
      <c r="J11">
        <v>2</v>
      </c>
      <c r="K11" t="s">
        <v>59</v>
      </c>
      <c r="L11" s="18">
        <v>0.44583333333333336</v>
      </c>
      <c r="M11" t="s">
        <v>59</v>
      </c>
      <c r="N11" s="18">
        <v>0.5541666666666667</v>
      </c>
      <c r="O11" t="s">
        <v>39</v>
      </c>
      <c r="P11" t="s">
        <v>14</v>
      </c>
      <c r="Q11" t="s">
        <v>13</v>
      </c>
      <c r="T11" s="18">
        <v>0</v>
      </c>
      <c r="W11" s="18">
        <v>0</v>
      </c>
      <c r="Y11">
        <v>0</v>
      </c>
      <c r="Z11">
        <v>0</v>
      </c>
      <c r="AB11" t="s">
        <v>20</v>
      </c>
      <c r="AC11">
        <v>19</v>
      </c>
    </row>
    <row r="12" spans="1:29" x14ac:dyDescent="0.25">
      <c r="A12">
        <v>126953534</v>
      </c>
      <c r="B12">
        <v>2030352739</v>
      </c>
      <c r="C12">
        <v>90</v>
      </c>
      <c r="E12" t="s">
        <v>10</v>
      </c>
      <c r="F12" t="s">
        <v>243</v>
      </c>
      <c r="G12">
        <v>4</v>
      </c>
      <c r="H12">
        <v>8</v>
      </c>
      <c r="I12">
        <v>0</v>
      </c>
      <c r="J12">
        <v>2</v>
      </c>
      <c r="K12" t="s">
        <v>60</v>
      </c>
      <c r="L12" s="18">
        <v>0.62083333333333335</v>
      </c>
      <c r="M12" t="s">
        <v>60</v>
      </c>
      <c r="N12" s="18">
        <v>0.6875</v>
      </c>
      <c r="O12" t="s">
        <v>39</v>
      </c>
      <c r="P12" t="s">
        <v>14</v>
      </c>
      <c r="Q12" t="s">
        <v>13</v>
      </c>
      <c r="T12" s="18">
        <v>0</v>
      </c>
      <c r="W12" s="18">
        <v>1</v>
      </c>
      <c r="Y12">
        <v>0</v>
      </c>
      <c r="Z12">
        <v>0</v>
      </c>
      <c r="AA12">
        <v>2</v>
      </c>
      <c r="AB12" t="s">
        <v>20</v>
      </c>
      <c r="AC12">
        <v>19</v>
      </c>
    </row>
    <row r="13" spans="1:29" x14ac:dyDescent="0.25">
      <c r="A13">
        <v>126953546</v>
      </c>
      <c r="B13">
        <v>2030352740</v>
      </c>
      <c r="C13">
        <v>90</v>
      </c>
      <c r="E13" t="s">
        <v>10</v>
      </c>
      <c r="F13" t="s">
        <v>244</v>
      </c>
      <c r="G13">
        <v>4</v>
      </c>
      <c r="H13">
        <v>8</v>
      </c>
      <c r="I13">
        <v>0</v>
      </c>
      <c r="J13">
        <v>2</v>
      </c>
      <c r="K13" t="s">
        <v>72</v>
      </c>
      <c r="L13" s="18">
        <v>0.45833333333333331</v>
      </c>
      <c r="M13" t="s">
        <v>72</v>
      </c>
      <c r="N13" s="18">
        <v>0.58333333333333337</v>
      </c>
      <c r="O13" t="s">
        <v>39</v>
      </c>
      <c r="P13" t="s">
        <v>14</v>
      </c>
      <c r="Q13" t="s">
        <v>13</v>
      </c>
      <c r="T13" s="18">
        <v>0</v>
      </c>
      <c r="W13" s="18">
        <v>1</v>
      </c>
      <c r="Y13">
        <v>0</v>
      </c>
      <c r="Z13">
        <v>0</v>
      </c>
      <c r="AA13">
        <v>2</v>
      </c>
      <c r="AB13" t="s">
        <v>20</v>
      </c>
      <c r="AC13">
        <v>19</v>
      </c>
    </row>
    <row r="14" spans="1:29" x14ac:dyDescent="0.25">
      <c r="A14">
        <v>134988704</v>
      </c>
      <c r="B14">
        <v>2030488429</v>
      </c>
      <c r="C14">
        <v>120</v>
      </c>
      <c r="E14" t="s">
        <v>10</v>
      </c>
      <c r="F14" t="s">
        <v>245</v>
      </c>
      <c r="G14">
        <v>4</v>
      </c>
      <c r="H14">
        <v>12</v>
      </c>
      <c r="I14">
        <v>0</v>
      </c>
      <c r="J14">
        <v>3</v>
      </c>
      <c r="K14" t="s">
        <v>62</v>
      </c>
      <c r="L14" s="18">
        <v>0.45416666666666666</v>
      </c>
      <c r="M14" t="s">
        <v>62</v>
      </c>
      <c r="N14" s="18">
        <v>0.59583333333333333</v>
      </c>
      <c r="O14" t="s">
        <v>11</v>
      </c>
      <c r="P14" t="s">
        <v>14</v>
      </c>
      <c r="Q14" t="s">
        <v>13</v>
      </c>
      <c r="T14" s="18">
        <v>0</v>
      </c>
      <c r="W14" s="18">
        <v>0</v>
      </c>
      <c r="Y14">
        <v>0</v>
      </c>
      <c r="Z14">
        <v>0</v>
      </c>
      <c r="AB14" t="s">
        <v>20</v>
      </c>
      <c r="AC14">
        <v>19</v>
      </c>
    </row>
    <row r="15" spans="1:29" x14ac:dyDescent="0.25">
      <c r="A15">
        <v>134988706</v>
      </c>
      <c r="B15">
        <v>2030488429</v>
      </c>
      <c r="C15">
        <v>140</v>
      </c>
      <c r="E15" t="s">
        <v>10</v>
      </c>
      <c r="F15" t="s">
        <v>246</v>
      </c>
      <c r="G15">
        <v>4</v>
      </c>
      <c r="H15">
        <v>8</v>
      </c>
      <c r="I15">
        <v>0</v>
      </c>
      <c r="J15">
        <v>2</v>
      </c>
      <c r="K15" t="s">
        <v>88</v>
      </c>
      <c r="L15" s="18">
        <v>0.49583333333333335</v>
      </c>
      <c r="M15" t="s">
        <v>88</v>
      </c>
      <c r="N15" s="18">
        <v>0.60416666666666663</v>
      </c>
      <c r="O15" t="s">
        <v>11</v>
      </c>
      <c r="P15" t="s">
        <v>14</v>
      </c>
      <c r="Q15" t="s">
        <v>13</v>
      </c>
      <c r="T15" s="18">
        <v>0</v>
      </c>
      <c r="W15" s="18">
        <v>0</v>
      </c>
      <c r="Y15">
        <v>0</v>
      </c>
      <c r="Z15">
        <v>0</v>
      </c>
      <c r="AB15" t="s">
        <v>20</v>
      </c>
      <c r="AC15">
        <v>19</v>
      </c>
    </row>
    <row r="16" spans="1:29" x14ac:dyDescent="0.25">
      <c r="A16">
        <v>128059011</v>
      </c>
      <c r="B16">
        <v>2030543601</v>
      </c>
      <c r="C16">
        <v>30</v>
      </c>
      <c r="D16">
        <v>10</v>
      </c>
      <c r="E16" t="s">
        <v>10</v>
      </c>
      <c r="F16" t="s">
        <v>247</v>
      </c>
      <c r="G16">
        <v>4</v>
      </c>
      <c r="H16">
        <v>36</v>
      </c>
      <c r="I16">
        <v>0</v>
      </c>
      <c r="J16">
        <v>9</v>
      </c>
      <c r="K16" t="s">
        <v>59</v>
      </c>
      <c r="L16" s="18">
        <v>0.60416666666666663</v>
      </c>
      <c r="M16" t="s">
        <v>62</v>
      </c>
      <c r="N16" s="18">
        <v>0.60416666666666663</v>
      </c>
      <c r="O16" t="s">
        <v>39</v>
      </c>
      <c r="P16" t="s">
        <v>14</v>
      </c>
      <c r="Q16" t="s">
        <v>13</v>
      </c>
      <c r="T16" s="18">
        <v>0</v>
      </c>
      <c r="W16" s="18">
        <v>0</v>
      </c>
      <c r="Y16">
        <v>0</v>
      </c>
      <c r="Z16">
        <v>0</v>
      </c>
      <c r="AA16">
        <v>1</v>
      </c>
      <c r="AB16" t="s">
        <v>20</v>
      </c>
      <c r="AC16">
        <v>19</v>
      </c>
    </row>
    <row r="17" spans="1:29" x14ac:dyDescent="0.25">
      <c r="A17">
        <v>128059657</v>
      </c>
      <c r="B17">
        <v>2030543601</v>
      </c>
      <c r="C17">
        <v>40</v>
      </c>
      <c r="D17">
        <v>10</v>
      </c>
      <c r="E17" t="s">
        <v>10</v>
      </c>
      <c r="F17" t="s">
        <v>247</v>
      </c>
      <c r="G17">
        <v>4</v>
      </c>
      <c r="H17">
        <v>36</v>
      </c>
      <c r="I17">
        <v>0</v>
      </c>
      <c r="J17">
        <v>9</v>
      </c>
      <c r="K17" t="s">
        <v>62</v>
      </c>
      <c r="L17" s="18">
        <v>0.60416666666666663</v>
      </c>
      <c r="M17" t="s">
        <v>60</v>
      </c>
      <c r="N17" s="18">
        <v>0.60416666666666663</v>
      </c>
      <c r="O17" t="s">
        <v>39</v>
      </c>
      <c r="P17" t="s">
        <v>14</v>
      </c>
      <c r="Q17" t="s">
        <v>13</v>
      </c>
      <c r="T17" s="18">
        <v>0</v>
      </c>
      <c r="W17" s="18">
        <v>0</v>
      </c>
      <c r="Y17">
        <v>0</v>
      </c>
      <c r="Z17">
        <v>0</v>
      </c>
      <c r="AA17">
        <v>1</v>
      </c>
      <c r="AB17" t="s">
        <v>20</v>
      </c>
      <c r="AC17">
        <v>19</v>
      </c>
    </row>
    <row r="18" spans="1:29" x14ac:dyDescent="0.25">
      <c r="A18">
        <v>128059655</v>
      </c>
      <c r="B18">
        <v>2030543601</v>
      </c>
      <c r="C18">
        <v>20</v>
      </c>
      <c r="D18">
        <v>30</v>
      </c>
      <c r="E18" t="s">
        <v>10</v>
      </c>
      <c r="F18" t="s">
        <v>248</v>
      </c>
      <c r="G18">
        <v>1</v>
      </c>
      <c r="H18">
        <v>5</v>
      </c>
      <c r="I18">
        <v>0</v>
      </c>
      <c r="J18">
        <v>5</v>
      </c>
      <c r="K18" t="s">
        <v>59</v>
      </c>
      <c r="L18" s="18">
        <v>0.35416666666666669</v>
      </c>
      <c r="M18" t="s">
        <v>59</v>
      </c>
      <c r="N18" s="18">
        <v>0.60416666666666663</v>
      </c>
      <c r="O18" t="s">
        <v>11</v>
      </c>
      <c r="P18" t="s">
        <v>14</v>
      </c>
      <c r="Q18" t="s">
        <v>13</v>
      </c>
      <c r="T18" s="18">
        <v>0</v>
      </c>
      <c r="W18" s="18">
        <v>0</v>
      </c>
      <c r="Y18">
        <v>0</v>
      </c>
      <c r="Z18">
        <v>0</v>
      </c>
      <c r="AA18">
        <v>1</v>
      </c>
      <c r="AB18" t="s">
        <v>20</v>
      </c>
      <c r="AC18">
        <v>19</v>
      </c>
    </row>
    <row r="19" spans="1:29" x14ac:dyDescent="0.25">
      <c r="A19">
        <v>128059661</v>
      </c>
      <c r="B19">
        <v>2030543601</v>
      </c>
      <c r="C19">
        <v>50</v>
      </c>
      <c r="D19">
        <v>30</v>
      </c>
      <c r="E19" t="s">
        <v>10</v>
      </c>
      <c r="F19" t="s">
        <v>249</v>
      </c>
      <c r="G19">
        <v>1</v>
      </c>
      <c r="H19">
        <v>5</v>
      </c>
      <c r="I19">
        <v>0</v>
      </c>
      <c r="J19">
        <v>5</v>
      </c>
      <c r="K19" t="s">
        <v>60</v>
      </c>
      <c r="L19" s="18">
        <v>0.60416666666666663</v>
      </c>
      <c r="M19" t="s">
        <v>72</v>
      </c>
      <c r="N19" s="18">
        <v>0.39583333333333331</v>
      </c>
      <c r="O19" t="s">
        <v>11</v>
      </c>
      <c r="P19" t="s">
        <v>14</v>
      </c>
      <c r="Q19" t="s">
        <v>13</v>
      </c>
      <c r="T19" s="18">
        <v>0</v>
      </c>
      <c r="W19" s="18">
        <v>0</v>
      </c>
      <c r="Y19">
        <v>0</v>
      </c>
      <c r="Z19">
        <v>0</v>
      </c>
      <c r="AA19">
        <v>1</v>
      </c>
      <c r="AB19" t="s">
        <v>20</v>
      </c>
      <c r="AC19">
        <v>19</v>
      </c>
    </row>
    <row r="20" spans="1:29" x14ac:dyDescent="0.25">
      <c r="A20">
        <v>128926343</v>
      </c>
      <c r="B20">
        <v>2030692228</v>
      </c>
      <c r="C20">
        <v>90</v>
      </c>
      <c r="E20" t="s">
        <v>10</v>
      </c>
      <c r="F20" t="s">
        <v>250</v>
      </c>
      <c r="G20">
        <v>4</v>
      </c>
      <c r="H20">
        <v>8</v>
      </c>
      <c r="I20">
        <v>0</v>
      </c>
      <c r="J20">
        <v>2</v>
      </c>
      <c r="K20" t="s">
        <v>60</v>
      </c>
      <c r="L20" s="18">
        <v>0.6740856481481482</v>
      </c>
      <c r="M20" t="s">
        <v>72</v>
      </c>
      <c r="N20" s="18">
        <v>0.32408564814814816</v>
      </c>
      <c r="O20" t="s">
        <v>39</v>
      </c>
      <c r="P20" t="s">
        <v>14</v>
      </c>
      <c r="Q20" t="s">
        <v>13</v>
      </c>
      <c r="T20" s="18">
        <v>0</v>
      </c>
      <c r="W20" s="18">
        <v>1</v>
      </c>
      <c r="Y20">
        <v>0</v>
      </c>
      <c r="Z20">
        <v>0</v>
      </c>
      <c r="AA20">
        <v>2</v>
      </c>
      <c r="AB20" t="s">
        <v>20</v>
      </c>
      <c r="AC20">
        <v>19</v>
      </c>
    </row>
    <row r="21" spans="1:29" x14ac:dyDescent="0.25">
      <c r="A21">
        <v>134189119</v>
      </c>
      <c r="B21">
        <v>2031048373</v>
      </c>
      <c r="C21">
        <v>285</v>
      </c>
      <c r="E21" t="s">
        <v>10</v>
      </c>
      <c r="F21" t="s">
        <v>254</v>
      </c>
      <c r="G21">
        <v>4</v>
      </c>
      <c r="H21">
        <v>12</v>
      </c>
      <c r="I21">
        <v>0</v>
      </c>
      <c r="J21">
        <v>3</v>
      </c>
      <c r="K21" t="s">
        <v>62</v>
      </c>
      <c r="L21" s="18">
        <v>0.35416666666666669</v>
      </c>
      <c r="M21" t="s">
        <v>62</v>
      </c>
      <c r="N21" s="18">
        <v>0.45416666666666666</v>
      </c>
      <c r="O21" t="s">
        <v>11</v>
      </c>
      <c r="P21" t="s">
        <v>14</v>
      </c>
      <c r="Q21" t="s">
        <v>13</v>
      </c>
      <c r="T21" s="18">
        <v>0</v>
      </c>
      <c r="W21" s="19">
        <v>0</v>
      </c>
      <c r="Y21">
        <v>0</v>
      </c>
      <c r="Z21">
        <v>0</v>
      </c>
      <c r="AB21" t="s">
        <v>20</v>
      </c>
      <c r="AC21">
        <v>19</v>
      </c>
    </row>
    <row r="22" spans="1:29" x14ac:dyDescent="0.25">
      <c r="A22">
        <v>134984619</v>
      </c>
      <c r="B22">
        <v>2031081914</v>
      </c>
      <c r="C22">
        <v>80</v>
      </c>
      <c r="E22" t="s">
        <v>10</v>
      </c>
      <c r="F22" t="s">
        <v>255</v>
      </c>
      <c r="G22">
        <v>4</v>
      </c>
      <c r="H22">
        <v>8</v>
      </c>
      <c r="I22">
        <v>0</v>
      </c>
      <c r="J22">
        <v>2</v>
      </c>
      <c r="K22" t="s">
        <v>62</v>
      </c>
      <c r="L22" s="18">
        <v>0.45416666666666666</v>
      </c>
      <c r="M22" t="s">
        <v>62</v>
      </c>
      <c r="N22" s="18">
        <v>0.5625</v>
      </c>
      <c r="O22" t="s">
        <v>11</v>
      </c>
      <c r="P22" t="s">
        <v>14</v>
      </c>
      <c r="Q22" t="s">
        <v>13</v>
      </c>
      <c r="T22" s="18">
        <v>0</v>
      </c>
      <c r="W22" s="18">
        <v>0</v>
      </c>
      <c r="Y22">
        <v>0</v>
      </c>
      <c r="Z22">
        <v>0</v>
      </c>
      <c r="AA22">
        <v>2</v>
      </c>
      <c r="AC22">
        <v>19</v>
      </c>
    </row>
    <row r="23" spans="1:29" x14ac:dyDescent="0.25">
      <c r="A23">
        <v>131932773</v>
      </c>
      <c r="B23">
        <v>2031082507</v>
      </c>
      <c r="C23">
        <v>10</v>
      </c>
      <c r="E23" t="s">
        <v>10</v>
      </c>
      <c r="F23" t="s">
        <v>256</v>
      </c>
      <c r="G23">
        <v>4</v>
      </c>
      <c r="H23">
        <v>32</v>
      </c>
      <c r="I23">
        <v>0</v>
      </c>
      <c r="J23">
        <v>8</v>
      </c>
      <c r="K23" t="s">
        <v>59</v>
      </c>
      <c r="L23" s="18">
        <v>0.41249999999999998</v>
      </c>
      <c r="M23" t="s">
        <v>59</v>
      </c>
      <c r="N23" s="18">
        <v>0.72083333333333333</v>
      </c>
      <c r="O23" t="s">
        <v>39</v>
      </c>
      <c r="P23" t="s">
        <v>14</v>
      </c>
      <c r="Q23" t="s">
        <v>13</v>
      </c>
      <c r="T23" s="18">
        <v>0</v>
      </c>
      <c r="W23" s="18">
        <v>0</v>
      </c>
      <c r="Y23">
        <v>0</v>
      </c>
      <c r="Z23">
        <v>0</v>
      </c>
      <c r="AA23">
        <v>2</v>
      </c>
      <c r="AB23" t="s">
        <v>20</v>
      </c>
      <c r="AC23">
        <v>19</v>
      </c>
    </row>
    <row r="24" spans="1:29" x14ac:dyDescent="0.25">
      <c r="A24">
        <v>134995444</v>
      </c>
      <c r="B24">
        <v>2031082512</v>
      </c>
      <c r="C24">
        <v>5</v>
      </c>
      <c r="D24">
        <v>30</v>
      </c>
      <c r="E24" t="s">
        <v>10</v>
      </c>
      <c r="F24" t="s">
        <v>257</v>
      </c>
      <c r="G24">
        <v>1</v>
      </c>
      <c r="H24">
        <v>4</v>
      </c>
      <c r="I24">
        <v>0</v>
      </c>
      <c r="J24">
        <v>4</v>
      </c>
      <c r="K24" t="s">
        <v>59</v>
      </c>
      <c r="L24" s="18">
        <v>0.5541666666666667</v>
      </c>
      <c r="M24" t="s">
        <v>59</v>
      </c>
      <c r="N24" s="18">
        <v>0.6875</v>
      </c>
      <c r="O24" t="s">
        <v>11</v>
      </c>
      <c r="P24" t="s">
        <v>14</v>
      </c>
      <c r="Q24" t="s">
        <v>13</v>
      </c>
      <c r="T24" s="18">
        <v>0</v>
      </c>
      <c r="W24" s="18">
        <v>0</v>
      </c>
      <c r="Y24">
        <v>0</v>
      </c>
      <c r="Z24">
        <v>0</v>
      </c>
      <c r="AA24">
        <v>2</v>
      </c>
      <c r="AB24" t="s">
        <v>20</v>
      </c>
      <c r="AC24">
        <v>19</v>
      </c>
    </row>
    <row r="25" spans="1:29" x14ac:dyDescent="0.25">
      <c r="A25">
        <v>131941098</v>
      </c>
      <c r="B25">
        <v>2031083290</v>
      </c>
      <c r="C25">
        <v>10</v>
      </c>
      <c r="E25" t="s">
        <v>10</v>
      </c>
      <c r="F25" t="s">
        <v>258</v>
      </c>
      <c r="G25">
        <v>4</v>
      </c>
      <c r="H25">
        <v>12</v>
      </c>
      <c r="I25">
        <v>0</v>
      </c>
      <c r="J25">
        <v>3</v>
      </c>
      <c r="K25" t="s">
        <v>59</v>
      </c>
      <c r="L25" s="18">
        <v>0.3125</v>
      </c>
      <c r="M25" t="s">
        <v>59</v>
      </c>
      <c r="N25" s="18">
        <v>0.4375</v>
      </c>
      <c r="O25" t="s">
        <v>11</v>
      </c>
      <c r="P25" t="s">
        <v>14</v>
      </c>
      <c r="Q25" t="s">
        <v>13</v>
      </c>
      <c r="T25" s="18">
        <v>0</v>
      </c>
      <c r="W25" s="19">
        <v>0</v>
      </c>
      <c r="Y25">
        <v>0</v>
      </c>
      <c r="Z25">
        <v>0</v>
      </c>
      <c r="AB25" t="s">
        <v>20</v>
      </c>
      <c r="AC25">
        <v>19</v>
      </c>
    </row>
    <row r="26" spans="1:29" x14ac:dyDescent="0.25">
      <c r="A26">
        <v>134998427</v>
      </c>
      <c r="B26">
        <v>2031111330</v>
      </c>
      <c r="C26">
        <v>290</v>
      </c>
      <c r="E26" t="s">
        <v>10</v>
      </c>
      <c r="F26" t="s">
        <v>259</v>
      </c>
      <c r="G26">
        <v>6</v>
      </c>
      <c r="H26">
        <v>24</v>
      </c>
      <c r="I26">
        <v>0</v>
      </c>
      <c r="J26">
        <v>4</v>
      </c>
      <c r="K26" t="s">
        <v>62</v>
      </c>
      <c r="L26" s="18">
        <v>0.54583333333333328</v>
      </c>
      <c r="M26" t="s">
        <v>62</v>
      </c>
      <c r="N26" s="18">
        <v>0.6791666666666667</v>
      </c>
      <c r="O26" t="s">
        <v>11</v>
      </c>
      <c r="P26" t="s">
        <v>14</v>
      </c>
      <c r="Q26" t="s">
        <v>13</v>
      </c>
      <c r="T26" s="18">
        <v>0</v>
      </c>
      <c r="W26" s="18">
        <v>0</v>
      </c>
      <c r="Y26">
        <v>0</v>
      </c>
      <c r="Z26">
        <v>0</v>
      </c>
      <c r="AA26">
        <v>1</v>
      </c>
      <c r="AB26" t="s">
        <v>20</v>
      </c>
      <c r="AC26">
        <v>19</v>
      </c>
    </row>
    <row r="27" spans="1:29" x14ac:dyDescent="0.25">
      <c r="A27">
        <v>134998433</v>
      </c>
      <c r="B27">
        <v>2031111330</v>
      </c>
      <c r="C27">
        <v>330</v>
      </c>
      <c r="E27" t="s">
        <v>10</v>
      </c>
      <c r="F27" t="s">
        <v>260</v>
      </c>
      <c r="G27">
        <v>6</v>
      </c>
      <c r="H27">
        <v>12</v>
      </c>
      <c r="I27">
        <v>0</v>
      </c>
      <c r="J27">
        <v>2</v>
      </c>
      <c r="K27" t="s">
        <v>72</v>
      </c>
      <c r="L27" s="18">
        <v>0.66249999999999998</v>
      </c>
      <c r="M27" t="s">
        <v>72</v>
      </c>
      <c r="N27" s="18">
        <v>0.72916666666666663</v>
      </c>
      <c r="O27" t="s">
        <v>11</v>
      </c>
      <c r="P27" t="s">
        <v>14</v>
      </c>
      <c r="Q27" t="s">
        <v>13</v>
      </c>
      <c r="T27" s="18">
        <v>0</v>
      </c>
      <c r="W27" s="18">
        <v>0</v>
      </c>
      <c r="Y27">
        <v>0</v>
      </c>
      <c r="Z27">
        <v>0</v>
      </c>
      <c r="AA27">
        <v>1</v>
      </c>
      <c r="AB27" t="s">
        <v>20</v>
      </c>
      <c r="AC27">
        <v>19</v>
      </c>
    </row>
    <row r="28" spans="1:29" x14ac:dyDescent="0.25">
      <c r="A28">
        <v>133261273</v>
      </c>
      <c r="B28">
        <v>2031294311</v>
      </c>
      <c r="C28">
        <v>10</v>
      </c>
      <c r="E28" t="s">
        <v>10</v>
      </c>
      <c r="F28" t="s">
        <v>265</v>
      </c>
      <c r="G28">
        <v>4</v>
      </c>
      <c r="H28">
        <v>16</v>
      </c>
      <c r="I28">
        <v>0</v>
      </c>
      <c r="J28">
        <v>4</v>
      </c>
      <c r="K28" t="s">
        <v>59</v>
      </c>
      <c r="L28" s="18">
        <v>0.3125</v>
      </c>
      <c r="M28" t="s">
        <v>59</v>
      </c>
      <c r="N28" s="18">
        <v>0.47916666666666669</v>
      </c>
      <c r="O28" t="s">
        <v>39</v>
      </c>
      <c r="P28" t="s">
        <v>14</v>
      </c>
      <c r="Q28" t="s">
        <v>13</v>
      </c>
      <c r="T28" s="18">
        <v>0</v>
      </c>
      <c r="W28" s="18">
        <v>0</v>
      </c>
      <c r="Y28">
        <v>0</v>
      </c>
      <c r="Z28">
        <v>0</v>
      </c>
      <c r="AA28">
        <v>2</v>
      </c>
      <c r="AB28" t="s">
        <v>20</v>
      </c>
      <c r="AC28">
        <v>19</v>
      </c>
    </row>
    <row r="29" spans="1:29" x14ac:dyDescent="0.25">
      <c r="A29">
        <v>133834813</v>
      </c>
      <c r="B29">
        <v>2031294311</v>
      </c>
      <c r="C29">
        <v>50</v>
      </c>
      <c r="E29" t="s">
        <v>10</v>
      </c>
      <c r="F29" t="s">
        <v>266</v>
      </c>
      <c r="G29">
        <v>4</v>
      </c>
      <c r="H29">
        <v>8</v>
      </c>
      <c r="I29">
        <v>0</v>
      </c>
      <c r="J29">
        <v>2</v>
      </c>
      <c r="K29" t="s">
        <v>72</v>
      </c>
      <c r="L29" s="18">
        <v>0.33333333333333331</v>
      </c>
      <c r="M29" t="s">
        <v>72</v>
      </c>
      <c r="N29" s="18">
        <v>0.41666666666666669</v>
      </c>
      <c r="O29" t="s">
        <v>39</v>
      </c>
      <c r="P29" t="s">
        <v>14</v>
      </c>
      <c r="Q29" t="s">
        <v>13</v>
      </c>
      <c r="T29" s="18">
        <v>0</v>
      </c>
      <c r="W29" s="18">
        <v>0</v>
      </c>
      <c r="Y29">
        <v>0</v>
      </c>
      <c r="Z29">
        <v>0</v>
      </c>
      <c r="AA29">
        <v>2</v>
      </c>
      <c r="AB29" t="s">
        <v>20</v>
      </c>
      <c r="AC29">
        <v>19</v>
      </c>
    </row>
    <row r="30" spans="1:29" x14ac:dyDescent="0.25">
      <c r="A30">
        <v>133420080</v>
      </c>
      <c r="B30">
        <v>2031324299</v>
      </c>
      <c r="C30">
        <v>10</v>
      </c>
      <c r="E30" t="s">
        <v>10</v>
      </c>
      <c r="F30" t="s">
        <v>270</v>
      </c>
      <c r="G30">
        <v>4</v>
      </c>
      <c r="H30">
        <v>16</v>
      </c>
      <c r="I30">
        <v>0</v>
      </c>
      <c r="J30">
        <v>4</v>
      </c>
      <c r="K30" t="s">
        <v>59</v>
      </c>
      <c r="L30" s="18">
        <v>0.3125</v>
      </c>
      <c r="M30" t="s">
        <v>59</v>
      </c>
      <c r="N30" s="18">
        <v>0.47916666666666669</v>
      </c>
      <c r="O30" t="s">
        <v>11</v>
      </c>
      <c r="P30" t="s">
        <v>14</v>
      </c>
      <c r="Q30" t="s">
        <v>13</v>
      </c>
      <c r="T30" s="18">
        <v>0</v>
      </c>
      <c r="W30" s="18">
        <v>0</v>
      </c>
      <c r="Y30">
        <v>0</v>
      </c>
      <c r="Z30">
        <v>0</v>
      </c>
      <c r="AB30" t="s">
        <v>20</v>
      </c>
      <c r="AC30">
        <v>19</v>
      </c>
    </row>
    <row r="31" spans="1:29" x14ac:dyDescent="0.25">
      <c r="A31">
        <v>133559730</v>
      </c>
      <c r="B31">
        <v>2031348916</v>
      </c>
      <c r="C31">
        <v>180</v>
      </c>
      <c r="E31" t="s">
        <v>10</v>
      </c>
      <c r="F31" t="s">
        <v>273</v>
      </c>
      <c r="G31">
        <v>2</v>
      </c>
      <c r="H31">
        <v>16</v>
      </c>
      <c r="I31">
        <v>0</v>
      </c>
      <c r="J31">
        <v>8</v>
      </c>
      <c r="K31" t="s">
        <v>88</v>
      </c>
      <c r="L31" s="18">
        <v>0.3125</v>
      </c>
      <c r="M31" t="s">
        <v>88</v>
      </c>
      <c r="N31" s="18">
        <v>0.62083333333333335</v>
      </c>
      <c r="O31" t="s">
        <v>39</v>
      </c>
      <c r="P31" t="s">
        <v>14</v>
      </c>
      <c r="Q31" t="s">
        <v>13</v>
      </c>
      <c r="T31" s="18">
        <v>0</v>
      </c>
      <c r="W31" s="19">
        <v>1</v>
      </c>
      <c r="Y31">
        <v>0</v>
      </c>
      <c r="Z31">
        <v>0</v>
      </c>
      <c r="AA31">
        <v>1</v>
      </c>
      <c r="AB31" t="s">
        <v>20</v>
      </c>
      <c r="AC31">
        <v>19</v>
      </c>
    </row>
    <row r="32" spans="1:29" x14ac:dyDescent="0.25">
      <c r="A32">
        <v>133566935</v>
      </c>
      <c r="B32">
        <v>2031351195</v>
      </c>
      <c r="C32">
        <v>80</v>
      </c>
      <c r="E32" t="s">
        <v>10</v>
      </c>
      <c r="F32" t="s">
        <v>274</v>
      </c>
      <c r="G32">
        <v>4</v>
      </c>
      <c r="H32">
        <v>8</v>
      </c>
      <c r="I32">
        <v>0</v>
      </c>
      <c r="J32">
        <v>2</v>
      </c>
      <c r="K32" t="s">
        <v>59</v>
      </c>
      <c r="L32" s="18">
        <v>0.49583333333333335</v>
      </c>
      <c r="M32" t="s">
        <v>59</v>
      </c>
      <c r="N32" s="18">
        <v>0.60416666666666663</v>
      </c>
      <c r="O32" t="s">
        <v>39</v>
      </c>
      <c r="P32" t="s">
        <v>14</v>
      </c>
      <c r="Q32" t="s">
        <v>13</v>
      </c>
      <c r="T32" s="18">
        <v>0</v>
      </c>
      <c r="W32" s="19">
        <v>0</v>
      </c>
      <c r="Y32">
        <v>0</v>
      </c>
      <c r="Z32">
        <v>0</v>
      </c>
      <c r="AA32">
        <v>1</v>
      </c>
      <c r="AB32" t="s">
        <v>20</v>
      </c>
      <c r="AC32">
        <v>19</v>
      </c>
    </row>
    <row r="33" spans="1:29" x14ac:dyDescent="0.25">
      <c r="A33">
        <v>134067169</v>
      </c>
      <c r="B33">
        <v>2031428175</v>
      </c>
      <c r="C33">
        <v>30</v>
      </c>
      <c r="E33" t="s">
        <v>10</v>
      </c>
      <c r="F33" t="s">
        <v>276</v>
      </c>
      <c r="G33">
        <v>4</v>
      </c>
      <c r="H33">
        <v>8</v>
      </c>
      <c r="I33">
        <v>0</v>
      </c>
      <c r="J33">
        <v>2</v>
      </c>
      <c r="K33" t="s">
        <v>60</v>
      </c>
      <c r="L33" s="18">
        <v>0.39113425925925926</v>
      </c>
      <c r="M33" t="s">
        <v>60</v>
      </c>
      <c r="N33" s="18">
        <v>0.45780092592592592</v>
      </c>
      <c r="O33" t="s">
        <v>11</v>
      </c>
      <c r="P33" t="s">
        <v>14</v>
      </c>
      <c r="Q33" t="s">
        <v>13</v>
      </c>
      <c r="T33" s="18">
        <v>0</v>
      </c>
      <c r="W33" s="18">
        <v>1</v>
      </c>
      <c r="Y33">
        <v>0</v>
      </c>
      <c r="Z33">
        <v>0</v>
      </c>
      <c r="AA33">
        <v>2</v>
      </c>
      <c r="AC33">
        <v>19</v>
      </c>
    </row>
    <row r="34" spans="1:29" x14ac:dyDescent="0.25">
      <c r="A34">
        <v>134067168</v>
      </c>
      <c r="B34">
        <v>2031428175</v>
      </c>
      <c r="C34">
        <v>20</v>
      </c>
      <c r="D34">
        <v>30</v>
      </c>
      <c r="E34" t="s">
        <v>10</v>
      </c>
      <c r="F34" t="s">
        <v>277</v>
      </c>
      <c r="G34">
        <v>4</v>
      </c>
      <c r="H34">
        <v>16</v>
      </c>
      <c r="I34">
        <v>0</v>
      </c>
      <c r="J34">
        <v>4</v>
      </c>
      <c r="K34" t="s">
        <v>62</v>
      </c>
      <c r="L34" s="18">
        <v>0.67446759259259259</v>
      </c>
      <c r="M34" t="s">
        <v>60</v>
      </c>
      <c r="N34" s="18">
        <v>0.39113425925925926</v>
      </c>
      <c r="O34" t="s">
        <v>11</v>
      </c>
      <c r="P34" t="s">
        <v>14</v>
      </c>
      <c r="Q34" t="s">
        <v>13</v>
      </c>
      <c r="T34" s="18">
        <v>0</v>
      </c>
      <c r="W34" s="18">
        <v>1</v>
      </c>
      <c r="Y34">
        <v>0</v>
      </c>
      <c r="Z34">
        <v>0</v>
      </c>
      <c r="AA34">
        <v>2</v>
      </c>
      <c r="AC34">
        <v>19</v>
      </c>
    </row>
    <row r="35" spans="1:29" x14ac:dyDescent="0.25">
      <c r="A35">
        <v>134067170</v>
      </c>
      <c r="B35">
        <v>2031428175</v>
      </c>
      <c r="C35">
        <v>40</v>
      </c>
      <c r="E35" t="s">
        <v>10</v>
      </c>
      <c r="F35" t="s">
        <v>278</v>
      </c>
      <c r="G35">
        <v>4</v>
      </c>
      <c r="H35">
        <v>8</v>
      </c>
      <c r="I35">
        <v>0</v>
      </c>
      <c r="J35">
        <v>2</v>
      </c>
      <c r="K35" t="s">
        <v>60</v>
      </c>
      <c r="L35" s="18">
        <v>0.45780092592592592</v>
      </c>
      <c r="M35" t="s">
        <v>60</v>
      </c>
      <c r="N35" s="18">
        <v>0.56613425925925931</v>
      </c>
      <c r="O35" t="s">
        <v>11</v>
      </c>
      <c r="P35" t="s">
        <v>14</v>
      </c>
      <c r="Q35" t="s">
        <v>13</v>
      </c>
      <c r="T35" s="18">
        <v>0</v>
      </c>
      <c r="W35" s="18">
        <v>1</v>
      </c>
      <c r="Y35">
        <v>0</v>
      </c>
      <c r="Z35">
        <v>0</v>
      </c>
      <c r="AA35">
        <v>2</v>
      </c>
      <c r="AC35">
        <v>19</v>
      </c>
    </row>
    <row r="36" spans="1:29" x14ac:dyDescent="0.25">
      <c r="A36">
        <v>134067171</v>
      </c>
      <c r="B36">
        <v>2031428175</v>
      </c>
      <c r="C36">
        <v>50</v>
      </c>
      <c r="E36" t="s">
        <v>10</v>
      </c>
      <c r="F36" t="s">
        <v>279</v>
      </c>
      <c r="G36">
        <v>4</v>
      </c>
      <c r="H36">
        <v>8</v>
      </c>
      <c r="I36">
        <v>0</v>
      </c>
      <c r="J36">
        <v>2</v>
      </c>
      <c r="K36" t="s">
        <v>60</v>
      </c>
      <c r="L36" s="18">
        <v>0.56613425925925931</v>
      </c>
      <c r="M36" t="s">
        <v>60</v>
      </c>
      <c r="N36" s="18">
        <v>0.63280092592592596</v>
      </c>
      <c r="O36" t="s">
        <v>11</v>
      </c>
      <c r="P36" t="s">
        <v>14</v>
      </c>
      <c r="Q36" t="s">
        <v>13</v>
      </c>
      <c r="T36" s="18">
        <v>0</v>
      </c>
      <c r="W36" s="18">
        <v>1</v>
      </c>
      <c r="Y36">
        <v>0</v>
      </c>
      <c r="Z36">
        <v>0</v>
      </c>
      <c r="AA36">
        <v>2</v>
      </c>
      <c r="AC36">
        <v>19</v>
      </c>
    </row>
    <row r="37" spans="1:29" x14ac:dyDescent="0.25">
      <c r="A37">
        <v>134067172</v>
      </c>
      <c r="B37">
        <v>2031428175</v>
      </c>
      <c r="C37">
        <v>60</v>
      </c>
      <c r="E37" t="s">
        <v>10</v>
      </c>
      <c r="F37" t="s">
        <v>280</v>
      </c>
      <c r="G37">
        <v>4</v>
      </c>
      <c r="H37">
        <v>8</v>
      </c>
      <c r="I37">
        <v>0</v>
      </c>
      <c r="J37">
        <v>2</v>
      </c>
      <c r="K37" t="s">
        <v>60</v>
      </c>
      <c r="L37" s="18">
        <v>0.63280092592592596</v>
      </c>
      <c r="M37" t="s">
        <v>60</v>
      </c>
      <c r="N37" s="18">
        <v>0.69946759259259261</v>
      </c>
      <c r="O37" t="s">
        <v>11</v>
      </c>
      <c r="P37" t="s">
        <v>14</v>
      </c>
      <c r="Q37" t="s">
        <v>13</v>
      </c>
      <c r="T37" s="18">
        <v>0</v>
      </c>
      <c r="W37" s="19">
        <v>1</v>
      </c>
      <c r="Y37">
        <v>0</v>
      </c>
      <c r="Z37">
        <v>0</v>
      </c>
      <c r="AA37">
        <v>2</v>
      </c>
      <c r="AC37">
        <v>19</v>
      </c>
    </row>
    <row r="38" spans="1:29" x14ac:dyDescent="0.25">
      <c r="A38">
        <v>134067173</v>
      </c>
      <c r="B38">
        <v>2031428175</v>
      </c>
      <c r="C38">
        <v>70</v>
      </c>
      <c r="E38" t="s">
        <v>10</v>
      </c>
      <c r="F38" t="s">
        <v>281</v>
      </c>
      <c r="G38">
        <v>4</v>
      </c>
      <c r="H38">
        <v>8</v>
      </c>
      <c r="I38">
        <v>0</v>
      </c>
      <c r="J38">
        <v>2</v>
      </c>
      <c r="K38" t="s">
        <v>60</v>
      </c>
      <c r="L38" s="18">
        <v>0.69946759259259261</v>
      </c>
      <c r="M38" t="s">
        <v>72</v>
      </c>
      <c r="N38" s="18">
        <v>0.34946759259259258</v>
      </c>
      <c r="O38" t="s">
        <v>11</v>
      </c>
      <c r="P38" t="s">
        <v>14</v>
      </c>
      <c r="Q38" t="s">
        <v>13</v>
      </c>
      <c r="T38" s="18">
        <v>0</v>
      </c>
      <c r="W38" s="19">
        <v>1</v>
      </c>
      <c r="Y38">
        <v>0</v>
      </c>
      <c r="Z38">
        <v>0</v>
      </c>
      <c r="AA38">
        <v>2</v>
      </c>
      <c r="AC38">
        <v>19</v>
      </c>
    </row>
    <row r="39" spans="1:29" x14ac:dyDescent="0.25">
      <c r="A39">
        <v>134067174</v>
      </c>
      <c r="B39">
        <v>2031428175</v>
      </c>
      <c r="C39">
        <v>80</v>
      </c>
      <c r="E39" t="s">
        <v>10</v>
      </c>
      <c r="F39" t="s">
        <v>282</v>
      </c>
      <c r="G39">
        <v>4</v>
      </c>
      <c r="H39">
        <v>8</v>
      </c>
      <c r="I39">
        <v>0</v>
      </c>
      <c r="J39">
        <v>2</v>
      </c>
      <c r="K39" t="s">
        <v>72</v>
      </c>
      <c r="L39" s="18">
        <v>0.34946759259259258</v>
      </c>
      <c r="M39" t="s">
        <v>72</v>
      </c>
      <c r="N39" s="18">
        <v>0.41613425925925923</v>
      </c>
      <c r="O39" t="s">
        <v>11</v>
      </c>
      <c r="P39" t="s">
        <v>14</v>
      </c>
      <c r="Q39" t="s">
        <v>13</v>
      </c>
      <c r="T39" s="18">
        <v>0</v>
      </c>
      <c r="W39" s="18">
        <v>1</v>
      </c>
      <c r="Y39">
        <v>0</v>
      </c>
      <c r="Z39">
        <v>0</v>
      </c>
      <c r="AA39">
        <v>2</v>
      </c>
      <c r="AC39">
        <v>19</v>
      </c>
    </row>
    <row r="40" spans="1:29" x14ac:dyDescent="0.25">
      <c r="A40">
        <v>134067179</v>
      </c>
      <c r="B40">
        <v>2031428175</v>
      </c>
      <c r="C40">
        <v>180</v>
      </c>
      <c r="E40" t="s">
        <v>10</v>
      </c>
      <c r="F40" t="s">
        <v>283</v>
      </c>
      <c r="G40">
        <v>4</v>
      </c>
      <c r="H40">
        <v>4</v>
      </c>
      <c r="I40">
        <v>0</v>
      </c>
      <c r="J40">
        <v>1</v>
      </c>
      <c r="K40" t="s">
        <v>88</v>
      </c>
      <c r="L40" s="18">
        <v>0.61613425925925924</v>
      </c>
      <c r="M40" t="s">
        <v>88</v>
      </c>
      <c r="N40" s="18">
        <v>0.64946759259259257</v>
      </c>
      <c r="O40" t="s">
        <v>11</v>
      </c>
      <c r="P40" t="s">
        <v>14</v>
      </c>
      <c r="Q40" t="s">
        <v>13</v>
      </c>
      <c r="T40" s="18">
        <v>0</v>
      </c>
      <c r="W40" s="18">
        <v>1</v>
      </c>
      <c r="Y40">
        <v>0</v>
      </c>
      <c r="Z40">
        <v>0</v>
      </c>
      <c r="AA40">
        <v>2</v>
      </c>
      <c r="AC40">
        <v>19</v>
      </c>
    </row>
    <row r="41" spans="1:29" x14ac:dyDescent="0.25">
      <c r="A41">
        <v>134067180</v>
      </c>
      <c r="B41">
        <v>2031428175</v>
      </c>
      <c r="C41">
        <v>190</v>
      </c>
      <c r="E41" t="s">
        <v>10</v>
      </c>
      <c r="F41" t="s">
        <v>284</v>
      </c>
      <c r="G41">
        <v>4</v>
      </c>
      <c r="H41">
        <v>4</v>
      </c>
      <c r="I41">
        <v>0</v>
      </c>
      <c r="J41">
        <v>1</v>
      </c>
      <c r="K41" t="s">
        <v>88</v>
      </c>
      <c r="L41" s="18">
        <v>0.64946759259259257</v>
      </c>
      <c r="M41" t="s">
        <v>88</v>
      </c>
      <c r="N41" s="18">
        <v>0.68280092592592589</v>
      </c>
      <c r="O41" t="s">
        <v>11</v>
      </c>
      <c r="P41" t="s">
        <v>14</v>
      </c>
      <c r="Q41" t="s">
        <v>13</v>
      </c>
      <c r="T41" s="18">
        <v>0</v>
      </c>
      <c r="W41" s="18">
        <v>1</v>
      </c>
      <c r="Y41">
        <v>0</v>
      </c>
      <c r="Z41">
        <v>0</v>
      </c>
      <c r="AA41">
        <v>2</v>
      </c>
      <c r="AC41">
        <v>19</v>
      </c>
    </row>
    <row r="42" spans="1:29" x14ac:dyDescent="0.25">
      <c r="A42">
        <v>134067181</v>
      </c>
      <c r="B42">
        <v>2031428175</v>
      </c>
      <c r="C42">
        <v>200</v>
      </c>
      <c r="E42" t="s">
        <v>10</v>
      </c>
      <c r="F42" t="s">
        <v>285</v>
      </c>
      <c r="G42">
        <v>4</v>
      </c>
      <c r="H42">
        <v>4</v>
      </c>
      <c r="I42">
        <v>0</v>
      </c>
      <c r="J42">
        <v>1</v>
      </c>
      <c r="K42" t="s">
        <v>88</v>
      </c>
      <c r="L42" s="18">
        <v>0.68280092592592589</v>
      </c>
      <c r="M42" t="s">
        <v>115</v>
      </c>
      <c r="N42" s="18">
        <v>0.34113425925925928</v>
      </c>
      <c r="O42" t="s">
        <v>11</v>
      </c>
      <c r="P42" t="s">
        <v>14</v>
      </c>
      <c r="Q42" t="s">
        <v>13</v>
      </c>
      <c r="T42" s="18">
        <v>0</v>
      </c>
      <c r="W42" s="18">
        <v>1</v>
      </c>
      <c r="Y42">
        <v>0</v>
      </c>
      <c r="Z42">
        <v>0</v>
      </c>
      <c r="AA42">
        <v>2</v>
      </c>
      <c r="AC42">
        <v>19</v>
      </c>
    </row>
    <row r="43" spans="1:29" x14ac:dyDescent="0.25">
      <c r="A43">
        <v>134989307</v>
      </c>
      <c r="B43">
        <v>2031515322</v>
      </c>
      <c r="C43">
        <v>5</v>
      </c>
      <c r="E43" t="s">
        <v>10</v>
      </c>
      <c r="F43" t="s">
        <v>288</v>
      </c>
      <c r="G43">
        <v>4</v>
      </c>
      <c r="H43">
        <v>32</v>
      </c>
      <c r="I43">
        <v>0</v>
      </c>
      <c r="J43">
        <v>8</v>
      </c>
      <c r="K43" t="s">
        <v>59</v>
      </c>
      <c r="L43" s="18">
        <v>0</v>
      </c>
      <c r="M43" t="s">
        <v>59</v>
      </c>
      <c r="N43" s="18">
        <v>0.33333333333333331</v>
      </c>
      <c r="O43" t="s">
        <v>39</v>
      </c>
      <c r="P43" t="s">
        <v>14</v>
      </c>
      <c r="Q43" t="s">
        <v>13</v>
      </c>
      <c r="T43" s="18">
        <v>0</v>
      </c>
      <c r="W43" s="18">
        <v>0</v>
      </c>
      <c r="Y43">
        <v>0</v>
      </c>
      <c r="Z43">
        <v>0</v>
      </c>
      <c r="AC43">
        <v>19</v>
      </c>
    </row>
    <row r="44" spans="1:29" x14ac:dyDescent="0.25">
      <c r="A44">
        <v>135001118</v>
      </c>
      <c r="B44">
        <v>2031586819</v>
      </c>
      <c r="C44">
        <v>10</v>
      </c>
      <c r="E44" t="s">
        <v>10</v>
      </c>
      <c r="F44" t="s">
        <v>297</v>
      </c>
      <c r="G44">
        <v>4</v>
      </c>
      <c r="H44">
        <v>12</v>
      </c>
      <c r="I44">
        <v>0</v>
      </c>
      <c r="J44">
        <v>3</v>
      </c>
      <c r="K44" t="s">
        <v>59</v>
      </c>
      <c r="L44" s="18">
        <v>0.3125</v>
      </c>
      <c r="M44" t="s">
        <v>59</v>
      </c>
      <c r="N44" s="18">
        <v>0.4375</v>
      </c>
      <c r="O44" t="s">
        <v>39</v>
      </c>
      <c r="P44" t="s">
        <v>14</v>
      </c>
      <c r="Q44" t="s">
        <v>13</v>
      </c>
      <c r="T44" s="18">
        <v>0</v>
      </c>
      <c r="W44" s="18">
        <v>0</v>
      </c>
      <c r="Y44">
        <v>0</v>
      </c>
      <c r="Z44">
        <v>0</v>
      </c>
      <c r="AB44" t="s">
        <v>20</v>
      </c>
      <c r="AC44">
        <v>19</v>
      </c>
    </row>
    <row r="45" spans="1:29" x14ac:dyDescent="0.25">
      <c r="L45" s="18"/>
      <c r="N45" s="18"/>
      <c r="T45" s="18"/>
      <c r="W45" s="18"/>
    </row>
    <row r="46" spans="1:29" x14ac:dyDescent="0.25">
      <c r="L46" s="18"/>
      <c r="N46" s="18"/>
      <c r="T46" s="18"/>
      <c r="W46" s="18"/>
    </row>
    <row r="47" spans="1:29" x14ac:dyDescent="0.25">
      <c r="L47" s="18"/>
      <c r="N47" s="18"/>
      <c r="T47" s="18"/>
      <c r="W47" s="18"/>
    </row>
    <row r="48" spans="1:29" x14ac:dyDescent="0.25">
      <c r="L48" s="18"/>
      <c r="N48" s="18"/>
      <c r="T48" s="18"/>
      <c r="W48" s="18"/>
    </row>
    <row r="49" spans="12:23" x14ac:dyDescent="0.25">
      <c r="L49" s="18"/>
      <c r="N49" s="18"/>
      <c r="T49" s="18"/>
      <c r="W49" s="18"/>
    </row>
    <row r="50" spans="12:23" x14ac:dyDescent="0.25">
      <c r="L50" s="18"/>
      <c r="N50" s="18"/>
      <c r="T50" s="18"/>
      <c r="W50" s="18"/>
    </row>
    <row r="51" spans="12:23" x14ac:dyDescent="0.25">
      <c r="L51" s="18"/>
      <c r="N51" s="18"/>
      <c r="T51" s="18"/>
      <c r="W51" s="18"/>
    </row>
    <row r="52" spans="12:23" x14ac:dyDescent="0.25">
      <c r="L52" s="18"/>
      <c r="N52" s="18"/>
      <c r="T52" s="18"/>
      <c r="W52" s="19"/>
    </row>
    <row r="53" spans="12:23" x14ac:dyDescent="0.25">
      <c r="L53" s="18"/>
      <c r="N53" s="18"/>
      <c r="T53" s="18"/>
      <c r="W53" s="18"/>
    </row>
  </sheetData>
  <pageMargins left="0.511811024" right="0.511811024" top="0.78740157499999996" bottom="0.78740157499999996" header="0.31496062000000002" footer="0.31496062000000002"/>
  <headerFooter>
    <oddFooter>&amp;L_x000D_&amp;1#&amp;"Trebuchet MS"&amp;9&amp;K737373 PÚBLICA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EC47D-41DE-4BB3-AD6B-E0546668367F}">
  <sheetPr filterMode="1">
    <tabColor theme="0"/>
  </sheetPr>
  <dimension ref="A1:AC114"/>
  <sheetViews>
    <sheetView tabSelected="1" zoomScale="70" zoomScaleNormal="70" workbookViewId="0">
      <selection activeCell="S127" sqref="S127"/>
    </sheetView>
  </sheetViews>
  <sheetFormatPr defaultRowHeight="15" x14ac:dyDescent="0.25"/>
  <cols>
    <col min="1" max="1" width="12.42578125" bestFit="1" customWidth="1"/>
    <col min="2" max="2" width="13.5703125" bestFit="1" customWidth="1"/>
    <col min="3" max="4" width="5.85546875" bestFit="1" customWidth="1"/>
    <col min="5" max="5" width="10" bestFit="1" customWidth="1"/>
    <col min="6" max="6" width="48.28515625" bestFit="1" customWidth="1"/>
    <col min="7" max="10" width="5.85546875" bestFit="1" customWidth="1"/>
    <col min="11" max="11" width="12" bestFit="1" customWidth="1"/>
    <col min="12" max="12" width="10" bestFit="1" customWidth="1"/>
    <col min="13" max="13" width="12.42578125" bestFit="1" customWidth="1"/>
    <col min="14" max="14" width="10" bestFit="1" customWidth="1"/>
    <col min="15" max="15" width="12.85546875" bestFit="1" customWidth="1"/>
    <col min="16" max="16" width="25.85546875" bestFit="1" customWidth="1"/>
    <col min="17" max="17" width="6.28515625" bestFit="1" customWidth="1"/>
    <col min="18" max="19" width="5.85546875" bestFit="1" customWidth="1"/>
    <col min="20" max="20" width="10" bestFit="1" customWidth="1"/>
    <col min="21" max="22" width="5.85546875" bestFit="1" customWidth="1"/>
    <col min="23" max="23" width="10" bestFit="1" customWidth="1"/>
    <col min="24" max="27" width="5.85546875" bestFit="1" customWidth="1"/>
    <col min="28" max="28" width="16.85546875" bestFit="1" customWidth="1"/>
    <col min="29" max="29" width="5.85546875" bestFit="1" customWidth="1"/>
  </cols>
  <sheetData>
    <row r="1" spans="1:29" x14ac:dyDescent="0.25">
      <c r="A1" t="s">
        <v>52</v>
      </c>
      <c r="B1" t="s">
        <v>52</v>
      </c>
      <c r="C1" t="s">
        <v>52</v>
      </c>
      <c r="D1" t="s">
        <v>52</v>
      </c>
      <c r="E1" t="s">
        <v>52</v>
      </c>
      <c r="F1" t="s">
        <v>46</v>
      </c>
      <c r="G1" t="s">
        <v>52</v>
      </c>
      <c r="H1" t="s">
        <v>52</v>
      </c>
      <c r="I1" t="s">
        <v>52</v>
      </c>
      <c r="J1" t="s">
        <v>52</v>
      </c>
      <c r="K1" t="s">
        <v>52</v>
      </c>
      <c r="L1" t="s">
        <v>52</v>
      </c>
      <c r="M1" t="s">
        <v>52</v>
      </c>
      <c r="N1" t="s">
        <v>52</v>
      </c>
      <c r="O1" t="s">
        <v>52</v>
      </c>
      <c r="P1" t="s">
        <v>52</v>
      </c>
      <c r="Q1" t="s">
        <v>52</v>
      </c>
      <c r="R1" t="s">
        <v>52</v>
      </c>
      <c r="S1" t="s">
        <v>52</v>
      </c>
      <c r="T1" t="s">
        <v>52</v>
      </c>
      <c r="U1" t="s">
        <v>52</v>
      </c>
      <c r="V1" t="s">
        <v>52</v>
      </c>
      <c r="W1" t="s">
        <v>52</v>
      </c>
      <c r="X1" t="s">
        <v>52</v>
      </c>
      <c r="Y1" t="s">
        <v>52</v>
      </c>
      <c r="Z1" t="s">
        <v>52</v>
      </c>
      <c r="AA1" t="s">
        <v>52</v>
      </c>
      <c r="AB1" t="s">
        <v>52</v>
      </c>
      <c r="AC1" t="s">
        <v>52</v>
      </c>
    </row>
    <row r="2" spans="1:29" hidden="1" x14ac:dyDescent="0.25">
      <c r="L2" s="18"/>
      <c r="N2" s="18"/>
      <c r="T2" s="18"/>
      <c r="W2" s="18"/>
    </row>
    <row r="3" spans="1:29" hidden="1" x14ac:dyDescent="0.25">
      <c r="L3" s="18"/>
      <c r="N3" s="18"/>
      <c r="T3" s="18"/>
      <c r="W3" s="18"/>
    </row>
    <row r="4" spans="1:29" hidden="1" x14ac:dyDescent="0.25">
      <c r="L4" s="18"/>
      <c r="N4" s="18"/>
      <c r="T4" s="18"/>
      <c r="W4" s="18"/>
    </row>
    <row r="5" spans="1:29" hidden="1" x14ac:dyDescent="0.25">
      <c r="L5" s="18"/>
      <c r="N5" s="18"/>
      <c r="T5" s="18"/>
      <c r="W5" s="18"/>
    </row>
    <row r="6" spans="1:29" x14ac:dyDescent="0.25">
      <c r="A6">
        <v>101245876</v>
      </c>
      <c r="B6">
        <v>2025895895</v>
      </c>
      <c r="C6">
        <v>120</v>
      </c>
      <c r="E6" t="s">
        <v>10</v>
      </c>
      <c r="F6" t="s">
        <v>226</v>
      </c>
      <c r="G6">
        <v>4</v>
      </c>
      <c r="H6">
        <v>12</v>
      </c>
      <c r="I6">
        <v>0</v>
      </c>
      <c r="J6">
        <v>3</v>
      </c>
      <c r="K6" t="s">
        <v>88</v>
      </c>
      <c r="L6" s="18">
        <v>0.32916666666666666</v>
      </c>
      <c r="M6" t="s">
        <v>88</v>
      </c>
      <c r="N6" s="18">
        <v>0.42916666666666664</v>
      </c>
      <c r="O6" t="s">
        <v>39</v>
      </c>
      <c r="P6" t="s">
        <v>227</v>
      </c>
      <c r="Q6" t="s">
        <v>13</v>
      </c>
      <c r="T6" s="18">
        <v>0</v>
      </c>
      <c r="W6" s="18">
        <v>0</v>
      </c>
      <c r="Y6">
        <v>0</v>
      </c>
      <c r="Z6">
        <v>0</v>
      </c>
      <c r="AA6">
        <v>2</v>
      </c>
      <c r="AB6" t="s">
        <v>20</v>
      </c>
      <c r="AC6">
        <v>19</v>
      </c>
    </row>
    <row r="7" spans="1:29" x14ac:dyDescent="0.25">
      <c r="A7">
        <v>101274468</v>
      </c>
      <c r="B7">
        <v>2025895895</v>
      </c>
      <c r="C7">
        <v>130</v>
      </c>
      <c r="E7" t="s">
        <v>10</v>
      </c>
      <c r="F7" t="s">
        <v>228</v>
      </c>
      <c r="G7">
        <v>4</v>
      </c>
      <c r="H7">
        <v>8</v>
      </c>
      <c r="I7">
        <v>0</v>
      </c>
      <c r="J7">
        <v>2</v>
      </c>
      <c r="K7" t="s">
        <v>88</v>
      </c>
      <c r="L7" s="18">
        <v>0.42916666666666664</v>
      </c>
      <c r="M7" t="s">
        <v>88</v>
      </c>
      <c r="N7" s="18">
        <v>0.49583333333333335</v>
      </c>
      <c r="O7" t="s">
        <v>39</v>
      </c>
      <c r="P7" t="s">
        <v>227</v>
      </c>
      <c r="Q7" t="s">
        <v>13</v>
      </c>
      <c r="T7" s="18">
        <v>0</v>
      </c>
      <c r="W7" s="18">
        <v>0</v>
      </c>
      <c r="Y7">
        <v>0</v>
      </c>
      <c r="Z7">
        <v>0</v>
      </c>
      <c r="AA7">
        <v>2</v>
      </c>
      <c r="AB7" t="s">
        <v>20</v>
      </c>
      <c r="AC7">
        <v>19</v>
      </c>
    </row>
    <row r="8" spans="1:29" x14ac:dyDescent="0.25">
      <c r="A8">
        <v>111483686</v>
      </c>
      <c r="B8">
        <v>2027857458</v>
      </c>
      <c r="C8">
        <v>10</v>
      </c>
      <c r="E8" t="s">
        <v>10</v>
      </c>
      <c r="F8" t="s">
        <v>229</v>
      </c>
      <c r="G8">
        <v>4</v>
      </c>
      <c r="H8">
        <v>16</v>
      </c>
      <c r="I8">
        <v>0</v>
      </c>
      <c r="J8">
        <v>4</v>
      </c>
      <c r="K8" t="s">
        <v>59</v>
      </c>
      <c r="L8" s="18">
        <v>0.36249999999999999</v>
      </c>
      <c r="M8" t="s">
        <v>59</v>
      </c>
      <c r="N8" s="18">
        <v>0.49583333333333335</v>
      </c>
      <c r="O8" t="s">
        <v>40</v>
      </c>
      <c r="P8" t="s">
        <v>16</v>
      </c>
      <c r="Q8" t="s">
        <v>13</v>
      </c>
      <c r="T8" s="18">
        <v>0</v>
      </c>
      <c r="W8" s="18">
        <v>0</v>
      </c>
      <c r="Y8">
        <v>0</v>
      </c>
      <c r="Z8">
        <v>0</v>
      </c>
      <c r="AA8">
        <v>2</v>
      </c>
      <c r="AB8" t="s">
        <v>20</v>
      </c>
      <c r="AC8">
        <v>19</v>
      </c>
    </row>
    <row r="9" spans="1:29" x14ac:dyDescent="0.25">
      <c r="A9">
        <v>111676873</v>
      </c>
      <c r="B9">
        <v>2027857458</v>
      </c>
      <c r="C9">
        <v>30</v>
      </c>
      <c r="E9" t="s">
        <v>10</v>
      </c>
      <c r="F9" t="s">
        <v>230</v>
      </c>
      <c r="G9">
        <v>4</v>
      </c>
      <c r="H9">
        <v>8</v>
      </c>
      <c r="I9">
        <v>0</v>
      </c>
      <c r="J9">
        <v>2</v>
      </c>
      <c r="K9" t="s">
        <v>59</v>
      </c>
      <c r="L9" s="18">
        <v>0.69414351851851852</v>
      </c>
      <c r="M9" t="s">
        <v>62</v>
      </c>
      <c r="N9" s="18">
        <v>0.34414351851851854</v>
      </c>
      <c r="O9" t="s">
        <v>40</v>
      </c>
      <c r="P9" t="s">
        <v>16</v>
      </c>
      <c r="Q9" t="s">
        <v>13</v>
      </c>
      <c r="T9" s="18">
        <v>0</v>
      </c>
      <c r="W9" s="19">
        <v>0</v>
      </c>
      <c r="Y9">
        <v>0</v>
      </c>
      <c r="Z9">
        <v>0</v>
      </c>
      <c r="AA9">
        <v>2</v>
      </c>
      <c r="AB9" t="s">
        <v>20</v>
      </c>
      <c r="AC9">
        <v>19</v>
      </c>
    </row>
    <row r="10" spans="1:29" hidden="1" x14ac:dyDescent="0.25">
      <c r="L10" s="18"/>
      <c r="N10" s="18"/>
      <c r="T10" s="18"/>
      <c r="W10" s="19"/>
    </row>
    <row r="11" spans="1:29" hidden="1" x14ac:dyDescent="0.25">
      <c r="L11" s="18"/>
      <c r="N11" s="18"/>
      <c r="T11" s="18"/>
      <c r="W11" s="19"/>
    </row>
    <row r="12" spans="1:29" hidden="1" x14ac:dyDescent="0.25">
      <c r="L12" s="18"/>
      <c r="N12" s="18"/>
      <c r="T12" s="18"/>
      <c r="W12" s="19"/>
    </row>
    <row r="13" spans="1:29" x14ac:dyDescent="0.25">
      <c r="A13">
        <v>119965586</v>
      </c>
      <c r="B13">
        <v>2029184556</v>
      </c>
      <c r="C13">
        <v>160</v>
      </c>
      <c r="E13" t="s">
        <v>10</v>
      </c>
      <c r="F13" t="s">
        <v>234</v>
      </c>
      <c r="G13">
        <v>4</v>
      </c>
      <c r="H13">
        <v>8</v>
      </c>
      <c r="I13">
        <v>0</v>
      </c>
      <c r="J13">
        <v>2</v>
      </c>
      <c r="K13" t="s">
        <v>59</v>
      </c>
      <c r="L13" s="18">
        <v>0.3125</v>
      </c>
      <c r="M13" t="s">
        <v>59</v>
      </c>
      <c r="N13" s="18">
        <v>0.37916666666666665</v>
      </c>
      <c r="O13" t="s">
        <v>11</v>
      </c>
      <c r="P13" t="s">
        <v>14</v>
      </c>
      <c r="Q13" t="s">
        <v>13</v>
      </c>
      <c r="T13" s="18">
        <v>0</v>
      </c>
      <c r="W13" s="19">
        <v>0</v>
      </c>
      <c r="Y13">
        <v>0</v>
      </c>
      <c r="Z13">
        <v>0</v>
      </c>
      <c r="AA13">
        <v>2</v>
      </c>
      <c r="AC13">
        <v>19</v>
      </c>
    </row>
    <row r="14" spans="1:29" x14ac:dyDescent="0.25">
      <c r="A14">
        <v>119965587</v>
      </c>
      <c r="B14">
        <v>2029184556</v>
      </c>
      <c r="C14">
        <v>170</v>
      </c>
      <c r="E14" t="s">
        <v>10</v>
      </c>
      <c r="F14" t="s">
        <v>235</v>
      </c>
      <c r="G14">
        <v>4</v>
      </c>
      <c r="H14">
        <v>8</v>
      </c>
      <c r="I14">
        <v>0</v>
      </c>
      <c r="J14">
        <v>2</v>
      </c>
      <c r="K14" t="s">
        <v>59</v>
      </c>
      <c r="L14" s="18">
        <v>0.37916666666666665</v>
      </c>
      <c r="M14" t="s">
        <v>59</v>
      </c>
      <c r="N14" s="18">
        <v>0.44583333333333336</v>
      </c>
      <c r="O14" t="s">
        <v>11</v>
      </c>
      <c r="P14" t="s">
        <v>14</v>
      </c>
      <c r="Q14" t="s">
        <v>13</v>
      </c>
      <c r="T14" s="18">
        <v>0</v>
      </c>
      <c r="W14" s="18">
        <v>0</v>
      </c>
      <c r="Y14">
        <v>0</v>
      </c>
      <c r="Z14">
        <v>0</v>
      </c>
      <c r="AA14">
        <v>2</v>
      </c>
      <c r="AC14">
        <v>19</v>
      </c>
    </row>
    <row r="15" spans="1:29" hidden="1" x14ac:dyDescent="0.25">
      <c r="L15" s="18"/>
      <c r="N15" s="18"/>
      <c r="T15" s="18"/>
      <c r="W15" s="18"/>
    </row>
    <row r="16" spans="1:29" x14ac:dyDescent="0.25">
      <c r="A16">
        <v>124391803</v>
      </c>
      <c r="B16">
        <v>2029940126</v>
      </c>
      <c r="C16">
        <v>49</v>
      </c>
      <c r="E16" t="s">
        <v>10</v>
      </c>
      <c r="F16" t="s">
        <v>237</v>
      </c>
      <c r="G16">
        <v>4</v>
      </c>
      <c r="H16">
        <v>16</v>
      </c>
      <c r="I16">
        <v>0</v>
      </c>
      <c r="J16">
        <v>4</v>
      </c>
      <c r="K16" t="s">
        <v>60</v>
      </c>
      <c r="L16" s="18">
        <v>0.54166666666666663</v>
      </c>
      <c r="M16" t="s">
        <v>60</v>
      </c>
      <c r="N16" s="18">
        <v>0.70833333333333337</v>
      </c>
      <c r="O16" t="s">
        <v>11</v>
      </c>
      <c r="P16" t="s">
        <v>14</v>
      </c>
      <c r="Q16" t="s">
        <v>13</v>
      </c>
      <c r="T16" s="18">
        <v>0</v>
      </c>
      <c r="W16" s="18">
        <v>0</v>
      </c>
      <c r="Y16">
        <v>0</v>
      </c>
      <c r="Z16">
        <v>0</v>
      </c>
      <c r="AB16" t="s">
        <v>20</v>
      </c>
      <c r="AC16">
        <v>19</v>
      </c>
    </row>
    <row r="17" spans="1:29" x14ac:dyDescent="0.25">
      <c r="A17">
        <v>125302646</v>
      </c>
      <c r="B17">
        <v>2029940126</v>
      </c>
      <c r="C17">
        <v>50</v>
      </c>
      <c r="E17" t="s">
        <v>10</v>
      </c>
      <c r="F17" t="s">
        <v>238</v>
      </c>
      <c r="G17">
        <v>4</v>
      </c>
      <c r="H17">
        <v>16</v>
      </c>
      <c r="I17">
        <v>0</v>
      </c>
      <c r="J17">
        <v>4</v>
      </c>
      <c r="K17" t="s">
        <v>60</v>
      </c>
      <c r="L17" s="18">
        <v>0.70833333333333337</v>
      </c>
      <c r="M17" t="s">
        <v>72</v>
      </c>
      <c r="N17" s="18">
        <v>0.45833333333333331</v>
      </c>
      <c r="O17" t="s">
        <v>11</v>
      </c>
      <c r="P17" t="s">
        <v>14</v>
      </c>
      <c r="Q17" t="s">
        <v>13</v>
      </c>
      <c r="T17" s="18">
        <v>0</v>
      </c>
      <c r="W17" s="18">
        <v>0</v>
      </c>
      <c r="Y17">
        <v>0</v>
      </c>
      <c r="Z17">
        <v>0</v>
      </c>
      <c r="AB17" t="s">
        <v>20</v>
      </c>
      <c r="AC17">
        <v>19</v>
      </c>
    </row>
    <row r="18" spans="1:29" x14ac:dyDescent="0.25">
      <c r="A18">
        <v>126132459</v>
      </c>
      <c r="B18">
        <v>2030210738</v>
      </c>
      <c r="C18">
        <v>46</v>
      </c>
      <c r="E18" t="s">
        <v>10</v>
      </c>
      <c r="F18" t="s">
        <v>239</v>
      </c>
      <c r="G18">
        <v>4</v>
      </c>
      <c r="H18">
        <v>8</v>
      </c>
      <c r="I18">
        <v>0</v>
      </c>
      <c r="J18">
        <v>2</v>
      </c>
      <c r="K18" t="s">
        <v>59</v>
      </c>
      <c r="L18" s="18">
        <v>0.44583333333333336</v>
      </c>
      <c r="M18" t="s">
        <v>59</v>
      </c>
      <c r="N18" s="18">
        <v>0.5541666666666667</v>
      </c>
      <c r="O18" t="s">
        <v>39</v>
      </c>
      <c r="P18" t="s">
        <v>14</v>
      </c>
      <c r="Q18" t="s">
        <v>13</v>
      </c>
      <c r="T18" s="18">
        <v>0</v>
      </c>
      <c r="W18" s="18">
        <v>0</v>
      </c>
      <c r="Y18">
        <v>0</v>
      </c>
      <c r="Z18">
        <v>0</v>
      </c>
      <c r="AB18" t="s">
        <v>20</v>
      </c>
      <c r="AC18">
        <v>19</v>
      </c>
    </row>
    <row r="19" spans="1:29" hidden="1" x14ac:dyDescent="0.25">
      <c r="L19" s="18"/>
      <c r="N19" s="18"/>
      <c r="T19" s="18"/>
      <c r="W19" s="18"/>
    </row>
    <row r="20" spans="1:29" hidden="1" x14ac:dyDescent="0.25">
      <c r="L20" s="18"/>
      <c r="N20" s="18"/>
      <c r="T20" s="18"/>
      <c r="W20" s="18"/>
    </row>
    <row r="21" spans="1:29" hidden="1" x14ac:dyDescent="0.25">
      <c r="L21" s="18"/>
      <c r="N21" s="18"/>
      <c r="T21" s="18"/>
      <c r="W21" s="18"/>
    </row>
    <row r="22" spans="1:29" x14ac:dyDescent="0.25">
      <c r="A22">
        <v>126953534</v>
      </c>
      <c r="B22">
        <v>2030352739</v>
      </c>
      <c r="C22">
        <v>90</v>
      </c>
      <c r="E22" t="s">
        <v>10</v>
      </c>
      <c r="F22" t="s">
        <v>243</v>
      </c>
      <c r="G22">
        <v>4</v>
      </c>
      <c r="H22">
        <v>8</v>
      </c>
      <c r="I22">
        <v>0</v>
      </c>
      <c r="J22">
        <v>2</v>
      </c>
      <c r="K22" t="s">
        <v>60</v>
      </c>
      <c r="L22" s="18">
        <v>0.62083333333333335</v>
      </c>
      <c r="M22" t="s">
        <v>60</v>
      </c>
      <c r="N22" s="18">
        <v>0.6875</v>
      </c>
      <c r="O22" t="s">
        <v>39</v>
      </c>
      <c r="P22" t="s">
        <v>14</v>
      </c>
      <c r="Q22" t="s">
        <v>13</v>
      </c>
      <c r="T22" s="18">
        <v>0</v>
      </c>
      <c r="W22" s="18">
        <v>1</v>
      </c>
      <c r="Y22">
        <v>0</v>
      </c>
      <c r="Z22">
        <v>0</v>
      </c>
      <c r="AA22">
        <v>2</v>
      </c>
      <c r="AB22" t="s">
        <v>20</v>
      </c>
      <c r="AC22">
        <v>19</v>
      </c>
    </row>
    <row r="23" spans="1:29" x14ac:dyDescent="0.25">
      <c r="A23">
        <v>126953546</v>
      </c>
      <c r="B23">
        <v>2030352740</v>
      </c>
      <c r="C23">
        <v>90</v>
      </c>
      <c r="E23" t="s">
        <v>10</v>
      </c>
      <c r="F23" t="s">
        <v>244</v>
      </c>
      <c r="G23">
        <v>4</v>
      </c>
      <c r="H23">
        <v>8</v>
      </c>
      <c r="I23">
        <v>0</v>
      </c>
      <c r="J23">
        <v>2</v>
      </c>
      <c r="K23" t="s">
        <v>72</v>
      </c>
      <c r="L23" s="18">
        <v>0.45833333333333331</v>
      </c>
      <c r="M23" t="s">
        <v>72</v>
      </c>
      <c r="N23" s="18">
        <v>0.58333333333333337</v>
      </c>
      <c r="O23" t="s">
        <v>39</v>
      </c>
      <c r="P23" t="s">
        <v>14</v>
      </c>
      <c r="Q23" t="s">
        <v>13</v>
      </c>
      <c r="T23" s="18">
        <v>0</v>
      </c>
      <c r="W23" s="18">
        <v>1</v>
      </c>
      <c r="Y23">
        <v>0</v>
      </c>
      <c r="Z23">
        <v>0</v>
      </c>
      <c r="AA23">
        <v>2</v>
      </c>
      <c r="AB23" t="s">
        <v>20</v>
      </c>
      <c r="AC23">
        <v>19</v>
      </c>
    </row>
    <row r="24" spans="1:29" x14ac:dyDescent="0.25">
      <c r="A24">
        <v>134988704</v>
      </c>
      <c r="B24">
        <v>2030488429</v>
      </c>
      <c r="C24">
        <v>120</v>
      </c>
      <c r="E24" t="s">
        <v>10</v>
      </c>
      <c r="F24" t="s">
        <v>245</v>
      </c>
      <c r="G24">
        <v>4</v>
      </c>
      <c r="H24">
        <v>12</v>
      </c>
      <c r="I24">
        <v>0</v>
      </c>
      <c r="J24">
        <v>3</v>
      </c>
      <c r="K24" t="s">
        <v>62</v>
      </c>
      <c r="L24" s="18">
        <v>0.45416666666666666</v>
      </c>
      <c r="M24" t="s">
        <v>62</v>
      </c>
      <c r="N24" s="18">
        <v>0.59583333333333333</v>
      </c>
      <c r="O24" t="s">
        <v>11</v>
      </c>
      <c r="P24" t="s">
        <v>14</v>
      </c>
      <c r="Q24" t="s">
        <v>13</v>
      </c>
      <c r="T24" s="18">
        <v>0</v>
      </c>
      <c r="W24" s="18">
        <v>0</v>
      </c>
      <c r="Y24">
        <v>0</v>
      </c>
      <c r="Z24">
        <v>0</v>
      </c>
      <c r="AB24" t="s">
        <v>20</v>
      </c>
      <c r="AC24">
        <v>19</v>
      </c>
    </row>
    <row r="25" spans="1:29" x14ac:dyDescent="0.25">
      <c r="A25">
        <v>134988706</v>
      </c>
      <c r="B25">
        <v>2030488429</v>
      </c>
      <c r="C25">
        <v>140</v>
      </c>
      <c r="E25" t="s">
        <v>10</v>
      </c>
      <c r="F25" t="s">
        <v>246</v>
      </c>
      <c r="G25">
        <v>4</v>
      </c>
      <c r="H25">
        <v>8</v>
      </c>
      <c r="I25">
        <v>0</v>
      </c>
      <c r="J25">
        <v>2</v>
      </c>
      <c r="K25" t="s">
        <v>88</v>
      </c>
      <c r="L25" s="18">
        <v>0.49583333333333335</v>
      </c>
      <c r="M25" t="s">
        <v>88</v>
      </c>
      <c r="N25" s="18">
        <v>0.60416666666666663</v>
      </c>
      <c r="O25" t="s">
        <v>11</v>
      </c>
      <c r="P25" t="s">
        <v>14</v>
      </c>
      <c r="Q25" t="s">
        <v>13</v>
      </c>
      <c r="T25" s="18">
        <v>0</v>
      </c>
      <c r="W25" s="18">
        <v>0</v>
      </c>
      <c r="Y25">
        <v>0</v>
      </c>
      <c r="Z25">
        <v>0</v>
      </c>
      <c r="AB25" t="s">
        <v>20</v>
      </c>
      <c r="AC25">
        <v>19</v>
      </c>
    </row>
    <row r="26" spans="1:29" x14ac:dyDescent="0.25">
      <c r="A26">
        <v>128059011</v>
      </c>
      <c r="B26">
        <v>2030543601</v>
      </c>
      <c r="C26">
        <v>30</v>
      </c>
      <c r="D26">
        <v>10</v>
      </c>
      <c r="E26" t="s">
        <v>10</v>
      </c>
      <c r="F26" t="s">
        <v>247</v>
      </c>
      <c r="G26">
        <v>4</v>
      </c>
      <c r="H26">
        <v>36</v>
      </c>
      <c r="I26">
        <v>0</v>
      </c>
      <c r="J26">
        <v>9</v>
      </c>
      <c r="K26" t="s">
        <v>59</v>
      </c>
      <c r="L26" s="18">
        <v>0.60416666666666663</v>
      </c>
      <c r="M26" t="s">
        <v>62</v>
      </c>
      <c r="N26" s="18">
        <v>0.60416666666666663</v>
      </c>
      <c r="O26" t="s">
        <v>39</v>
      </c>
      <c r="P26" t="s">
        <v>14</v>
      </c>
      <c r="Q26" t="s">
        <v>13</v>
      </c>
      <c r="T26" s="18">
        <v>0</v>
      </c>
      <c r="W26" s="18">
        <v>0</v>
      </c>
      <c r="Y26">
        <v>0</v>
      </c>
      <c r="Z26">
        <v>0</v>
      </c>
      <c r="AA26">
        <v>1</v>
      </c>
      <c r="AB26" t="s">
        <v>20</v>
      </c>
      <c r="AC26">
        <v>19</v>
      </c>
    </row>
    <row r="27" spans="1:29" x14ac:dyDescent="0.25">
      <c r="A27">
        <v>128059657</v>
      </c>
      <c r="B27">
        <v>2030543601</v>
      </c>
      <c r="C27">
        <v>40</v>
      </c>
      <c r="D27">
        <v>10</v>
      </c>
      <c r="E27" t="s">
        <v>10</v>
      </c>
      <c r="F27" t="s">
        <v>247</v>
      </c>
      <c r="G27">
        <v>4</v>
      </c>
      <c r="H27">
        <v>36</v>
      </c>
      <c r="I27">
        <v>0</v>
      </c>
      <c r="J27">
        <v>9</v>
      </c>
      <c r="K27" t="s">
        <v>62</v>
      </c>
      <c r="L27" s="18">
        <v>0.60416666666666663</v>
      </c>
      <c r="M27" t="s">
        <v>60</v>
      </c>
      <c r="N27" s="18">
        <v>0.60416666666666663</v>
      </c>
      <c r="O27" t="s">
        <v>39</v>
      </c>
      <c r="P27" t="s">
        <v>14</v>
      </c>
      <c r="Q27" t="s">
        <v>13</v>
      </c>
      <c r="T27" s="18">
        <v>0</v>
      </c>
      <c r="W27" s="18">
        <v>0</v>
      </c>
      <c r="Y27">
        <v>0</v>
      </c>
      <c r="Z27">
        <v>0</v>
      </c>
      <c r="AA27">
        <v>1</v>
      </c>
      <c r="AB27" t="s">
        <v>20</v>
      </c>
      <c r="AC27">
        <v>19</v>
      </c>
    </row>
    <row r="28" spans="1:29" x14ac:dyDescent="0.25">
      <c r="A28">
        <v>128059655</v>
      </c>
      <c r="B28">
        <v>2030543601</v>
      </c>
      <c r="C28">
        <v>20</v>
      </c>
      <c r="D28">
        <v>30</v>
      </c>
      <c r="E28" t="s">
        <v>10</v>
      </c>
      <c r="F28" t="s">
        <v>248</v>
      </c>
      <c r="G28">
        <v>1</v>
      </c>
      <c r="H28">
        <v>5</v>
      </c>
      <c r="I28">
        <v>0</v>
      </c>
      <c r="J28">
        <v>5</v>
      </c>
      <c r="K28" t="s">
        <v>59</v>
      </c>
      <c r="L28" s="18">
        <v>0.35416666666666669</v>
      </c>
      <c r="M28" t="s">
        <v>59</v>
      </c>
      <c r="N28" s="18">
        <v>0.60416666666666663</v>
      </c>
      <c r="O28" t="s">
        <v>11</v>
      </c>
      <c r="P28" t="s">
        <v>14</v>
      </c>
      <c r="Q28" t="s">
        <v>13</v>
      </c>
      <c r="T28" s="18">
        <v>0</v>
      </c>
      <c r="W28" s="18">
        <v>0</v>
      </c>
      <c r="Y28">
        <v>0</v>
      </c>
      <c r="Z28">
        <v>0</v>
      </c>
      <c r="AA28">
        <v>1</v>
      </c>
      <c r="AB28" t="s">
        <v>20</v>
      </c>
      <c r="AC28">
        <v>19</v>
      </c>
    </row>
    <row r="29" spans="1:29" x14ac:dyDescent="0.25">
      <c r="A29">
        <v>128059661</v>
      </c>
      <c r="B29">
        <v>2030543601</v>
      </c>
      <c r="C29">
        <v>50</v>
      </c>
      <c r="D29">
        <v>30</v>
      </c>
      <c r="E29" t="s">
        <v>10</v>
      </c>
      <c r="F29" t="s">
        <v>249</v>
      </c>
      <c r="G29">
        <v>1</v>
      </c>
      <c r="H29">
        <v>5</v>
      </c>
      <c r="I29">
        <v>0</v>
      </c>
      <c r="J29">
        <v>5</v>
      </c>
      <c r="K29" t="s">
        <v>60</v>
      </c>
      <c r="L29" s="18">
        <v>0.60416666666666663</v>
      </c>
      <c r="M29" t="s">
        <v>72</v>
      </c>
      <c r="N29" s="18">
        <v>0.39583333333333331</v>
      </c>
      <c r="O29" t="s">
        <v>11</v>
      </c>
      <c r="P29" t="s">
        <v>14</v>
      </c>
      <c r="Q29" t="s">
        <v>13</v>
      </c>
      <c r="T29" s="18">
        <v>0</v>
      </c>
      <c r="W29" s="18">
        <v>0</v>
      </c>
      <c r="Y29">
        <v>0</v>
      </c>
      <c r="Z29">
        <v>0</v>
      </c>
      <c r="AA29">
        <v>1</v>
      </c>
      <c r="AB29" t="s">
        <v>20</v>
      </c>
      <c r="AC29">
        <v>19</v>
      </c>
    </row>
    <row r="30" spans="1:29" x14ac:dyDescent="0.25">
      <c r="A30">
        <v>128926343</v>
      </c>
      <c r="B30">
        <v>2030692228</v>
      </c>
      <c r="C30">
        <v>90</v>
      </c>
      <c r="E30" t="s">
        <v>10</v>
      </c>
      <c r="F30" t="s">
        <v>250</v>
      </c>
      <c r="G30">
        <v>4</v>
      </c>
      <c r="H30">
        <v>8</v>
      </c>
      <c r="I30">
        <v>0</v>
      </c>
      <c r="J30">
        <v>2</v>
      </c>
      <c r="K30" t="s">
        <v>60</v>
      </c>
      <c r="L30" s="18">
        <v>0.6740856481481482</v>
      </c>
      <c r="M30" t="s">
        <v>72</v>
      </c>
      <c r="N30" s="18">
        <v>0.32408564814814816</v>
      </c>
      <c r="O30" t="s">
        <v>39</v>
      </c>
      <c r="P30" t="s">
        <v>14</v>
      </c>
      <c r="Q30" t="s">
        <v>13</v>
      </c>
      <c r="T30" s="18">
        <v>0</v>
      </c>
      <c r="W30" s="18">
        <v>1</v>
      </c>
      <c r="Y30">
        <v>0</v>
      </c>
      <c r="Z30">
        <v>0</v>
      </c>
      <c r="AA30">
        <v>2</v>
      </c>
      <c r="AB30" t="s">
        <v>20</v>
      </c>
      <c r="AC30">
        <v>19</v>
      </c>
    </row>
    <row r="31" spans="1:29" hidden="1" x14ac:dyDescent="0.25">
      <c r="L31" s="18"/>
      <c r="N31" s="18"/>
      <c r="T31" s="18"/>
      <c r="W31" s="18"/>
    </row>
    <row r="32" spans="1:29" hidden="1" x14ac:dyDescent="0.25">
      <c r="L32" s="18"/>
      <c r="N32" s="18"/>
      <c r="T32" s="18"/>
      <c r="W32" s="18"/>
    </row>
    <row r="33" spans="1:29" hidden="1" x14ac:dyDescent="0.25">
      <c r="L33" s="18"/>
      <c r="N33" s="18"/>
      <c r="T33" s="18"/>
      <c r="W33" s="18"/>
    </row>
    <row r="34" spans="1:29" x14ac:dyDescent="0.25">
      <c r="A34">
        <v>134189119</v>
      </c>
      <c r="B34">
        <v>2031048373</v>
      </c>
      <c r="C34">
        <v>285</v>
      </c>
      <c r="E34" t="s">
        <v>10</v>
      </c>
      <c r="F34" t="s">
        <v>254</v>
      </c>
      <c r="G34">
        <v>4</v>
      </c>
      <c r="H34">
        <v>12</v>
      </c>
      <c r="I34">
        <v>0</v>
      </c>
      <c r="J34">
        <v>3</v>
      </c>
      <c r="K34" t="s">
        <v>62</v>
      </c>
      <c r="L34" s="18">
        <v>0.35416666666666669</v>
      </c>
      <c r="M34" t="s">
        <v>62</v>
      </c>
      <c r="N34" s="18">
        <v>0.45416666666666666</v>
      </c>
      <c r="O34" t="s">
        <v>11</v>
      </c>
      <c r="P34" t="s">
        <v>14</v>
      </c>
      <c r="Q34" t="s">
        <v>13</v>
      </c>
      <c r="T34" s="18">
        <v>0</v>
      </c>
      <c r="W34" s="19">
        <v>0</v>
      </c>
      <c r="Y34">
        <v>0</v>
      </c>
      <c r="Z34">
        <v>0</v>
      </c>
      <c r="AB34" t="s">
        <v>20</v>
      </c>
      <c r="AC34">
        <v>19</v>
      </c>
    </row>
    <row r="35" spans="1:29" x14ac:dyDescent="0.25">
      <c r="A35">
        <v>134984619</v>
      </c>
      <c r="B35">
        <v>2031081914</v>
      </c>
      <c r="C35">
        <v>80</v>
      </c>
      <c r="E35" t="s">
        <v>10</v>
      </c>
      <c r="F35" t="s">
        <v>255</v>
      </c>
      <c r="G35">
        <v>4</v>
      </c>
      <c r="H35">
        <v>8</v>
      </c>
      <c r="I35">
        <v>0</v>
      </c>
      <c r="J35">
        <v>2</v>
      </c>
      <c r="K35" t="s">
        <v>62</v>
      </c>
      <c r="L35" s="18">
        <v>0.45416666666666666</v>
      </c>
      <c r="M35" t="s">
        <v>62</v>
      </c>
      <c r="N35" s="18">
        <v>0.5625</v>
      </c>
      <c r="O35" t="s">
        <v>11</v>
      </c>
      <c r="P35" t="s">
        <v>14</v>
      </c>
      <c r="Q35" t="s">
        <v>13</v>
      </c>
      <c r="T35" s="18">
        <v>0</v>
      </c>
      <c r="W35" s="18">
        <v>0</v>
      </c>
      <c r="Y35">
        <v>0</v>
      </c>
      <c r="Z35">
        <v>0</v>
      </c>
      <c r="AA35">
        <v>2</v>
      </c>
      <c r="AC35">
        <v>19</v>
      </c>
    </row>
    <row r="36" spans="1:29" x14ac:dyDescent="0.25">
      <c r="A36">
        <v>131932773</v>
      </c>
      <c r="B36">
        <v>2031082507</v>
      </c>
      <c r="C36">
        <v>10</v>
      </c>
      <c r="E36" t="s">
        <v>10</v>
      </c>
      <c r="F36" t="s">
        <v>256</v>
      </c>
      <c r="G36">
        <v>4</v>
      </c>
      <c r="H36">
        <v>32</v>
      </c>
      <c r="I36">
        <v>0</v>
      </c>
      <c r="J36">
        <v>8</v>
      </c>
      <c r="K36" t="s">
        <v>59</v>
      </c>
      <c r="L36" s="18">
        <v>0.41249999999999998</v>
      </c>
      <c r="M36" t="s">
        <v>59</v>
      </c>
      <c r="N36" s="18">
        <v>0.72083333333333333</v>
      </c>
      <c r="O36" t="s">
        <v>39</v>
      </c>
      <c r="P36" t="s">
        <v>14</v>
      </c>
      <c r="Q36" t="s">
        <v>13</v>
      </c>
      <c r="T36" s="18">
        <v>0</v>
      </c>
      <c r="W36" s="18">
        <v>0</v>
      </c>
      <c r="Y36">
        <v>0</v>
      </c>
      <c r="Z36">
        <v>0</v>
      </c>
      <c r="AA36">
        <v>2</v>
      </c>
      <c r="AB36" t="s">
        <v>20</v>
      </c>
      <c r="AC36">
        <v>19</v>
      </c>
    </row>
    <row r="37" spans="1:29" x14ac:dyDescent="0.25">
      <c r="A37">
        <v>134995444</v>
      </c>
      <c r="B37">
        <v>2031082512</v>
      </c>
      <c r="C37">
        <v>5</v>
      </c>
      <c r="D37">
        <v>30</v>
      </c>
      <c r="E37" t="s">
        <v>10</v>
      </c>
      <c r="F37" t="s">
        <v>257</v>
      </c>
      <c r="G37">
        <v>1</v>
      </c>
      <c r="H37">
        <v>4</v>
      </c>
      <c r="I37">
        <v>0</v>
      </c>
      <c r="J37">
        <v>4</v>
      </c>
      <c r="K37" t="s">
        <v>59</v>
      </c>
      <c r="L37" s="18">
        <v>0.5541666666666667</v>
      </c>
      <c r="M37" t="s">
        <v>59</v>
      </c>
      <c r="N37" s="18">
        <v>0.6875</v>
      </c>
      <c r="O37" t="s">
        <v>11</v>
      </c>
      <c r="P37" t="s">
        <v>14</v>
      </c>
      <c r="Q37" t="s">
        <v>13</v>
      </c>
      <c r="T37" s="18">
        <v>0</v>
      </c>
      <c r="W37" s="18">
        <v>0</v>
      </c>
      <c r="Y37">
        <v>0</v>
      </c>
      <c r="Z37">
        <v>0</v>
      </c>
      <c r="AA37">
        <v>2</v>
      </c>
      <c r="AB37" t="s">
        <v>20</v>
      </c>
      <c r="AC37">
        <v>19</v>
      </c>
    </row>
    <row r="38" spans="1:29" x14ac:dyDescent="0.25">
      <c r="A38">
        <v>131941098</v>
      </c>
      <c r="B38">
        <v>2031083290</v>
      </c>
      <c r="C38">
        <v>10</v>
      </c>
      <c r="E38" t="s">
        <v>10</v>
      </c>
      <c r="F38" t="s">
        <v>258</v>
      </c>
      <c r="G38">
        <v>4</v>
      </c>
      <c r="H38">
        <v>12</v>
      </c>
      <c r="I38">
        <v>0</v>
      </c>
      <c r="J38">
        <v>3</v>
      </c>
      <c r="K38" t="s">
        <v>59</v>
      </c>
      <c r="L38" s="18">
        <v>0.3125</v>
      </c>
      <c r="M38" t="s">
        <v>59</v>
      </c>
      <c r="N38" s="18">
        <v>0.4375</v>
      </c>
      <c r="O38" t="s">
        <v>11</v>
      </c>
      <c r="P38" t="s">
        <v>14</v>
      </c>
      <c r="Q38" t="s">
        <v>13</v>
      </c>
      <c r="T38" s="18">
        <v>0</v>
      </c>
      <c r="W38" s="19">
        <v>0</v>
      </c>
      <c r="Y38">
        <v>0</v>
      </c>
      <c r="Z38">
        <v>0</v>
      </c>
      <c r="AB38" t="s">
        <v>20</v>
      </c>
      <c r="AC38">
        <v>19</v>
      </c>
    </row>
    <row r="39" spans="1:29" x14ac:dyDescent="0.25">
      <c r="A39">
        <v>134998427</v>
      </c>
      <c r="B39">
        <v>2031111330</v>
      </c>
      <c r="C39">
        <v>290</v>
      </c>
      <c r="E39" t="s">
        <v>10</v>
      </c>
      <c r="F39" t="s">
        <v>259</v>
      </c>
      <c r="G39">
        <v>6</v>
      </c>
      <c r="H39">
        <v>24</v>
      </c>
      <c r="I39">
        <v>0</v>
      </c>
      <c r="J39">
        <v>4</v>
      </c>
      <c r="K39" t="s">
        <v>62</v>
      </c>
      <c r="L39" s="18">
        <v>0.54583333333333328</v>
      </c>
      <c r="M39" t="s">
        <v>62</v>
      </c>
      <c r="N39" s="18">
        <v>0.6791666666666667</v>
      </c>
      <c r="O39" t="s">
        <v>11</v>
      </c>
      <c r="P39" t="s">
        <v>14</v>
      </c>
      <c r="Q39" t="s">
        <v>13</v>
      </c>
      <c r="T39" s="18">
        <v>0</v>
      </c>
      <c r="W39" s="18">
        <v>0</v>
      </c>
      <c r="Y39">
        <v>0</v>
      </c>
      <c r="Z39">
        <v>0</v>
      </c>
      <c r="AA39">
        <v>1</v>
      </c>
      <c r="AB39" t="s">
        <v>20</v>
      </c>
      <c r="AC39">
        <v>19</v>
      </c>
    </row>
    <row r="40" spans="1:29" x14ac:dyDescent="0.25">
      <c r="A40">
        <v>134998433</v>
      </c>
      <c r="B40">
        <v>2031111330</v>
      </c>
      <c r="C40">
        <v>330</v>
      </c>
      <c r="E40" t="s">
        <v>10</v>
      </c>
      <c r="F40" t="s">
        <v>260</v>
      </c>
      <c r="G40">
        <v>6</v>
      </c>
      <c r="H40">
        <v>12</v>
      </c>
      <c r="I40">
        <v>0</v>
      </c>
      <c r="J40">
        <v>2</v>
      </c>
      <c r="K40" t="s">
        <v>72</v>
      </c>
      <c r="L40" s="18">
        <v>0.66249999999999998</v>
      </c>
      <c r="M40" t="s">
        <v>72</v>
      </c>
      <c r="N40" s="18">
        <v>0.72916666666666663</v>
      </c>
      <c r="O40" t="s">
        <v>11</v>
      </c>
      <c r="P40" t="s">
        <v>14</v>
      </c>
      <c r="Q40" t="s">
        <v>13</v>
      </c>
      <c r="T40" s="18">
        <v>0</v>
      </c>
      <c r="W40" s="18">
        <v>0</v>
      </c>
      <c r="Y40">
        <v>0</v>
      </c>
      <c r="Z40">
        <v>0</v>
      </c>
      <c r="AA40">
        <v>1</v>
      </c>
      <c r="AB40" t="s">
        <v>20</v>
      </c>
      <c r="AC40">
        <v>19</v>
      </c>
    </row>
    <row r="41" spans="1:29" hidden="1" x14ac:dyDescent="0.25">
      <c r="L41" s="18"/>
      <c r="N41" s="18"/>
      <c r="T41" s="18"/>
      <c r="W41" s="18"/>
    </row>
    <row r="42" spans="1:29" hidden="1" x14ac:dyDescent="0.25">
      <c r="L42" s="18"/>
      <c r="N42" s="18"/>
      <c r="T42" s="18"/>
      <c r="W42" s="18"/>
    </row>
    <row r="43" spans="1:29" hidden="1" x14ac:dyDescent="0.25">
      <c r="L43" s="18"/>
      <c r="N43" s="18"/>
      <c r="T43" s="18"/>
      <c r="W43" s="18"/>
    </row>
    <row r="44" spans="1:29" hidden="1" x14ac:dyDescent="0.25">
      <c r="L44" s="18"/>
      <c r="N44" s="18"/>
      <c r="T44" s="18"/>
      <c r="W44" s="18"/>
    </row>
    <row r="45" spans="1:29" x14ac:dyDescent="0.25">
      <c r="A45">
        <v>133261273</v>
      </c>
      <c r="B45">
        <v>2031294311</v>
      </c>
      <c r="C45">
        <v>10</v>
      </c>
      <c r="E45" t="s">
        <v>10</v>
      </c>
      <c r="F45" t="s">
        <v>265</v>
      </c>
      <c r="G45">
        <v>4</v>
      </c>
      <c r="H45">
        <v>16</v>
      </c>
      <c r="I45">
        <v>0</v>
      </c>
      <c r="J45">
        <v>4</v>
      </c>
      <c r="K45" t="s">
        <v>59</v>
      </c>
      <c r="L45" s="18">
        <v>0.3125</v>
      </c>
      <c r="M45" t="s">
        <v>59</v>
      </c>
      <c r="N45" s="18">
        <v>0.47916666666666669</v>
      </c>
      <c r="O45" t="s">
        <v>39</v>
      </c>
      <c r="P45" t="s">
        <v>14</v>
      </c>
      <c r="Q45" t="s">
        <v>13</v>
      </c>
      <c r="T45" s="18">
        <v>0</v>
      </c>
      <c r="W45" s="18">
        <v>0</v>
      </c>
      <c r="Y45">
        <v>0</v>
      </c>
      <c r="Z45">
        <v>0</v>
      </c>
      <c r="AA45">
        <v>2</v>
      </c>
      <c r="AB45" t="s">
        <v>20</v>
      </c>
      <c r="AC45">
        <v>19</v>
      </c>
    </row>
    <row r="46" spans="1:29" x14ac:dyDescent="0.25">
      <c r="A46">
        <v>133834813</v>
      </c>
      <c r="B46">
        <v>2031294311</v>
      </c>
      <c r="C46">
        <v>50</v>
      </c>
      <c r="E46" t="s">
        <v>10</v>
      </c>
      <c r="F46" t="s">
        <v>266</v>
      </c>
      <c r="G46">
        <v>4</v>
      </c>
      <c r="H46">
        <v>8</v>
      </c>
      <c r="I46">
        <v>0</v>
      </c>
      <c r="J46">
        <v>2</v>
      </c>
      <c r="K46" t="s">
        <v>72</v>
      </c>
      <c r="L46" s="18">
        <v>0.33333333333333331</v>
      </c>
      <c r="M46" t="s">
        <v>72</v>
      </c>
      <c r="N46" s="18">
        <v>0.41666666666666669</v>
      </c>
      <c r="O46" t="s">
        <v>39</v>
      </c>
      <c r="P46" t="s">
        <v>14</v>
      </c>
      <c r="Q46" t="s">
        <v>13</v>
      </c>
      <c r="T46" s="18">
        <v>0</v>
      </c>
      <c r="W46" s="18">
        <v>0</v>
      </c>
      <c r="Y46">
        <v>0</v>
      </c>
      <c r="Z46">
        <v>0</v>
      </c>
      <c r="AA46">
        <v>2</v>
      </c>
      <c r="AB46" t="s">
        <v>20</v>
      </c>
      <c r="AC46">
        <v>19</v>
      </c>
    </row>
    <row r="47" spans="1:29" hidden="1" x14ac:dyDescent="0.25">
      <c r="L47" s="18"/>
      <c r="N47" s="18"/>
      <c r="T47" s="18"/>
      <c r="W47" s="18"/>
    </row>
    <row r="48" spans="1:29" hidden="1" x14ac:dyDescent="0.25">
      <c r="L48" s="18"/>
      <c r="N48" s="18"/>
      <c r="T48" s="18"/>
      <c r="W48" s="18"/>
    </row>
    <row r="49" spans="1:29" hidden="1" x14ac:dyDescent="0.25">
      <c r="L49" s="18"/>
      <c r="N49" s="18"/>
      <c r="T49" s="18"/>
      <c r="W49" s="18"/>
    </row>
    <row r="50" spans="1:29" x14ac:dyDescent="0.25">
      <c r="A50">
        <v>133420080</v>
      </c>
      <c r="B50">
        <v>2031324299</v>
      </c>
      <c r="C50">
        <v>10</v>
      </c>
      <c r="E50" t="s">
        <v>10</v>
      </c>
      <c r="F50" t="s">
        <v>270</v>
      </c>
      <c r="G50">
        <v>4</v>
      </c>
      <c r="H50">
        <v>16</v>
      </c>
      <c r="I50">
        <v>0</v>
      </c>
      <c r="J50">
        <v>4</v>
      </c>
      <c r="K50" t="s">
        <v>59</v>
      </c>
      <c r="L50" s="18">
        <v>0.3125</v>
      </c>
      <c r="M50" t="s">
        <v>59</v>
      </c>
      <c r="N50" s="18">
        <v>0.47916666666666669</v>
      </c>
      <c r="O50" t="s">
        <v>11</v>
      </c>
      <c r="P50" t="s">
        <v>14</v>
      </c>
      <c r="Q50" t="s">
        <v>13</v>
      </c>
      <c r="T50" s="18">
        <v>0</v>
      </c>
      <c r="W50" s="18">
        <v>0</v>
      </c>
      <c r="Y50">
        <v>0</v>
      </c>
      <c r="Z50">
        <v>0</v>
      </c>
      <c r="AB50" t="s">
        <v>20</v>
      </c>
      <c r="AC50">
        <v>19</v>
      </c>
    </row>
    <row r="51" spans="1:29" hidden="1" x14ac:dyDescent="0.25">
      <c r="L51" s="18"/>
      <c r="N51" s="18"/>
      <c r="T51" s="18"/>
      <c r="W51" s="19"/>
    </row>
    <row r="52" spans="1:29" hidden="1" x14ac:dyDescent="0.25">
      <c r="L52" s="18"/>
      <c r="N52" s="18"/>
      <c r="T52" s="18"/>
      <c r="W52" s="19"/>
    </row>
    <row r="53" spans="1:29" x14ac:dyDescent="0.25">
      <c r="A53">
        <v>133559730</v>
      </c>
      <c r="B53">
        <v>2031348916</v>
      </c>
      <c r="C53">
        <v>180</v>
      </c>
      <c r="E53" t="s">
        <v>10</v>
      </c>
      <c r="F53" t="s">
        <v>273</v>
      </c>
      <c r="G53">
        <v>2</v>
      </c>
      <c r="H53">
        <v>16</v>
      </c>
      <c r="I53">
        <v>0</v>
      </c>
      <c r="J53">
        <v>8</v>
      </c>
      <c r="K53" t="s">
        <v>88</v>
      </c>
      <c r="L53" s="18">
        <v>0.3125</v>
      </c>
      <c r="M53" t="s">
        <v>88</v>
      </c>
      <c r="N53" s="18">
        <v>0.62083333333333335</v>
      </c>
      <c r="O53" t="s">
        <v>39</v>
      </c>
      <c r="P53" t="s">
        <v>14</v>
      </c>
      <c r="Q53" t="s">
        <v>13</v>
      </c>
      <c r="T53" s="18">
        <v>0</v>
      </c>
      <c r="W53" s="19">
        <v>1</v>
      </c>
      <c r="Y53">
        <v>0</v>
      </c>
      <c r="Z53">
        <v>0</v>
      </c>
      <c r="AA53">
        <v>1</v>
      </c>
      <c r="AB53" t="s">
        <v>20</v>
      </c>
      <c r="AC53">
        <v>19</v>
      </c>
    </row>
    <row r="54" spans="1:29" x14ac:dyDescent="0.25">
      <c r="A54">
        <v>133566935</v>
      </c>
      <c r="B54">
        <v>2031351195</v>
      </c>
      <c r="C54">
        <v>80</v>
      </c>
      <c r="E54" t="s">
        <v>10</v>
      </c>
      <c r="F54" t="s">
        <v>274</v>
      </c>
      <c r="G54">
        <v>4</v>
      </c>
      <c r="H54">
        <v>8</v>
      </c>
      <c r="I54">
        <v>0</v>
      </c>
      <c r="J54">
        <v>2</v>
      </c>
      <c r="K54" t="s">
        <v>59</v>
      </c>
      <c r="L54" s="18">
        <v>0.49583333333333335</v>
      </c>
      <c r="M54" t="s">
        <v>59</v>
      </c>
      <c r="N54" s="18">
        <v>0.60416666666666663</v>
      </c>
      <c r="O54" t="s">
        <v>39</v>
      </c>
      <c r="P54" t="s">
        <v>14</v>
      </c>
      <c r="Q54" t="s">
        <v>13</v>
      </c>
      <c r="T54" s="18">
        <v>0</v>
      </c>
      <c r="W54" s="19">
        <v>0</v>
      </c>
      <c r="Y54">
        <v>0</v>
      </c>
      <c r="Z54">
        <v>0</v>
      </c>
      <c r="AA54">
        <v>1</v>
      </c>
      <c r="AB54" t="s">
        <v>20</v>
      </c>
      <c r="AC54">
        <v>19</v>
      </c>
    </row>
    <row r="55" spans="1:29" hidden="1" x14ac:dyDescent="0.25">
      <c r="L55" s="18"/>
      <c r="N55" s="18"/>
      <c r="T55" s="18"/>
      <c r="W55" s="19"/>
    </row>
    <row r="56" spans="1:29" x14ac:dyDescent="0.25">
      <c r="A56">
        <v>134067169</v>
      </c>
      <c r="B56">
        <v>2031428175</v>
      </c>
      <c r="C56">
        <v>30</v>
      </c>
      <c r="E56" t="s">
        <v>10</v>
      </c>
      <c r="F56" t="s">
        <v>276</v>
      </c>
      <c r="G56">
        <v>4</v>
      </c>
      <c r="H56">
        <v>8</v>
      </c>
      <c r="I56">
        <v>0</v>
      </c>
      <c r="J56">
        <v>2</v>
      </c>
      <c r="K56" t="s">
        <v>60</v>
      </c>
      <c r="L56" s="18">
        <v>0.39113425925925926</v>
      </c>
      <c r="M56" t="s">
        <v>60</v>
      </c>
      <c r="N56" s="18">
        <v>0.45780092592592592</v>
      </c>
      <c r="O56" t="s">
        <v>11</v>
      </c>
      <c r="P56" t="s">
        <v>14</v>
      </c>
      <c r="Q56" t="s">
        <v>13</v>
      </c>
      <c r="T56" s="18">
        <v>0</v>
      </c>
      <c r="W56" s="18">
        <v>1</v>
      </c>
      <c r="Y56">
        <v>0</v>
      </c>
      <c r="Z56">
        <v>0</v>
      </c>
      <c r="AA56">
        <v>2</v>
      </c>
      <c r="AC56">
        <v>19</v>
      </c>
    </row>
    <row r="57" spans="1:29" x14ac:dyDescent="0.25">
      <c r="A57">
        <v>134067168</v>
      </c>
      <c r="B57">
        <v>2031428175</v>
      </c>
      <c r="C57">
        <v>20</v>
      </c>
      <c r="D57">
        <v>30</v>
      </c>
      <c r="E57" t="s">
        <v>10</v>
      </c>
      <c r="F57" t="s">
        <v>277</v>
      </c>
      <c r="G57">
        <v>4</v>
      </c>
      <c r="H57">
        <v>16</v>
      </c>
      <c r="I57">
        <v>0</v>
      </c>
      <c r="J57">
        <v>4</v>
      </c>
      <c r="K57" t="s">
        <v>62</v>
      </c>
      <c r="L57" s="18">
        <v>0.67446759259259259</v>
      </c>
      <c r="M57" t="s">
        <v>60</v>
      </c>
      <c r="N57" s="18">
        <v>0.39113425925925926</v>
      </c>
      <c r="O57" t="s">
        <v>11</v>
      </c>
      <c r="P57" t="s">
        <v>14</v>
      </c>
      <c r="Q57" t="s">
        <v>13</v>
      </c>
      <c r="T57" s="18">
        <v>0</v>
      </c>
      <c r="W57" s="18">
        <v>1</v>
      </c>
      <c r="Y57">
        <v>0</v>
      </c>
      <c r="Z57">
        <v>0</v>
      </c>
      <c r="AA57">
        <v>2</v>
      </c>
      <c r="AC57">
        <v>19</v>
      </c>
    </row>
    <row r="58" spans="1:29" x14ac:dyDescent="0.25">
      <c r="A58">
        <v>134067170</v>
      </c>
      <c r="B58">
        <v>2031428175</v>
      </c>
      <c r="C58">
        <v>40</v>
      </c>
      <c r="E58" t="s">
        <v>10</v>
      </c>
      <c r="F58" t="s">
        <v>278</v>
      </c>
      <c r="G58">
        <v>4</v>
      </c>
      <c r="H58">
        <v>8</v>
      </c>
      <c r="I58">
        <v>0</v>
      </c>
      <c r="J58">
        <v>2</v>
      </c>
      <c r="K58" t="s">
        <v>60</v>
      </c>
      <c r="L58" s="18">
        <v>0.45780092592592592</v>
      </c>
      <c r="M58" t="s">
        <v>60</v>
      </c>
      <c r="N58" s="18">
        <v>0.56613425925925931</v>
      </c>
      <c r="O58" t="s">
        <v>11</v>
      </c>
      <c r="P58" t="s">
        <v>14</v>
      </c>
      <c r="Q58" t="s">
        <v>13</v>
      </c>
      <c r="T58" s="18">
        <v>0</v>
      </c>
      <c r="W58" s="18">
        <v>1</v>
      </c>
      <c r="Y58">
        <v>0</v>
      </c>
      <c r="Z58">
        <v>0</v>
      </c>
      <c r="AA58">
        <v>2</v>
      </c>
      <c r="AC58">
        <v>19</v>
      </c>
    </row>
    <row r="59" spans="1:29" x14ac:dyDescent="0.25">
      <c r="A59">
        <v>134067171</v>
      </c>
      <c r="B59">
        <v>2031428175</v>
      </c>
      <c r="C59">
        <v>50</v>
      </c>
      <c r="E59" t="s">
        <v>10</v>
      </c>
      <c r="F59" t="s">
        <v>279</v>
      </c>
      <c r="G59">
        <v>4</v>
      </c>
      <c r="H59">
        <v>8</v>
      </c>
      <c r="I59">
        <v>0</v>
      </c>
      <c r="J59">
        <v>2</v>
      </c>
      <c r="K59" t="s">
        <v>60</v>
      </c>
      <c r="L59" s="18">
        <v>0.56613425925925931</v>
      </c>
      <c r="M59" t="s">
        <v>60</v>
      </c>
      <c r="N59" s="18">
        <v>0.63280092592592596</v>
      </c>
      <c r="O59" t="s">
        <v>11</v>
      </c>
      <c r="P59" t="s">
        <v>14</v>
      </c>
      <c r="Q59" t="s">
        <v>13</v>
      </c>
      <c r="T59" s="18">
        <v>0</v>
      </c>
      <c r="W59" s="18">
        <v>1</v>
      </c>
      <c r="Y59">
        <v>0</v>
      </c>
      <c r="Z59">
        <v>0</v>
      </c>
      <c r="AA59">
        <v>2</v>
      </c>
      <c r="AC59">
        <v>19</v>
      </c>
    </row>
    <row r="60" spans="1:29" x14ac:dyDescent="0.25">
      <c r="A60">
        <v>134067172</v>
      </c>
      <c r="B60">
        <v>2031428175</v>
      </c>
      <c r="C60">
        <v>60</v>
      </c>
      <c r="E60" t="s">
        <v>10</v>
      </c>
      <c r="F60" t="s">
        <v>280</v>
      </c>
      <c r="G60">
        <v>4</v>
      </c>
      <c r="H60">
        <v>8</v>
      </c>
      <c r="I60">
        <v>0</v>
      </c>
      <c r="J60">
        <v>2</v>
      </c>
      <c r="K60" t="s">
        <v>60</v>
      </c>
      <c r="L60" s="18">
        <v>0.63280092592592596</v>
      </c>
      <c r="M60" t="s">
        <v>60</v>
      </c>
      <c r="N60" s="18">
        <v>0.69946759259259261</v>
      </c>
      <c r="O60" t="s">
        <v>11</v>
      </c>
      <c r="P60" t="s">
        <v>14</v>
      </c>
      <c r="Q60" t="s">
        <v>13</v>
      </c>
      <c r="T60" s="18">
        <v>0</v>
      </c>
      <c r="W60" s="19">
        <v>1</v>
      </c>
      <c r="Y60">
        <v>0</v>
      </c>
      <c r="Z60">
        <v>0</v>
      </c>
      <c r="AA60">
        <v>2</v>
      </c>
      <c r="AC60">
        <v>19</v>
      </c>
    </row>
    <row r="61" spans="1:29" x14ac:dyDescent="0.25">
      <c r="A61">
        <v>134067173</v>
      </c>
      <c r="B61">
        <v>2031428175</v>
      </c>
      <c r="C61">
        <v>70</v>
      </c>
      <c r="E61" t="s">
        <v>10</v>
      </c>
      <c r="F61" t="s">
        <v>281</v>
      </c>
      <c r="G61">
        <v>4</v>
      </c>
      <c r="H61">
        <v>8</v>
      </c>
      <c r="I61">
        <v>0</v>
      </c>
      <c r="J61">
        <v>2</v>
      </c>
      <c r="K61" t="s">
        <v>60</v>
      </c>
      <c r="L61" s="18">
        <v>0.69946759259259261</v>
      </c>
      <c r="M61" t="s">
        <v>72</v>
      </c>
      <c r="N61" s="18">
        <v>0.34946759259259258</v>
      </c>
      <c r="O61" t="s">
        <v>11</v>
      </c>
      <c r="P61" t="s">
        <v>14</v>
      </c>
      <c r="Q61" t="s">
        <v>13</v>
      </c>
      <c r="T61" s="18">
        <v>0</v>
      </c>
      <c r="W61" s="19">
        <v>1</v>
      </c>
      <c r="Y61">
        <v>0</v>
      </c>
      <c r="Z61">
        <v>0</v>
      </c>
      <c r="AA61">
        <v>2</v>
      </c>
      <c r="AC61">
        <v>19</v>
      </c>
    </row>
    <row r="62" spans="1:29" x14ac:dyDescent="0.25">
      <c r="A62">
        <v>134067174</v>
      </c>
      <c r="B62">
        <v>2031428175</v>
      </c>
      <c r="C62">
        <v>80</v>
      </c>
      <c r="E62" t="s">
        <v>10</v>
      </c>
      <c r="F62" t="s">
        <v>282</v>
      </c>
      <c r="G62">
        <v>4</v>
      </c>
      <c r="H62">
        <v>8</v>
      </c>
      <c r="I62">
        <v>0</v>
      </c>
      <c r="J62">
        <v>2</v>
      </c>
      <c r="K62" t="s">
        <v>72</v>
      </c>
      <c r="L62" s="18">
        <v>0.34946759259259258</v>
      </c>
      <c r="M62" t="s">
        <v>72</v>
      </c>
      <c r="N62" s="18">
        <v>0.41613425925925923</v>
      </c>
      <c r="O62" t="s">
        <v>11</v>
      </c>
      <c r="P62" t="s">
        <v>14</v>
      </c>
      <c r="Q62" t="s">
        <v>13</v>
      </c>
      <c r="T62" s="18">
        <v>0</v>
      </c>
      <c r="W62" s="18">
        <v>1</v>
      </c>
      <c r="Y62">
        <v>0</v>
      </c>
      <c r="Z62">
        <v>0</v>
      </c>
      <c r="AA62">
        <v>2</v>
      </c>
      <c r="AC62">
        <v>19</v>
      </c>
    </row>
    <row r="63" spans="1:29" x14ac:dyDescent="0.25">
      <c r="A63">
        <v>134067179</v>
      </c>
      <c r="B63">
        <v>2031428175</v>
      </c>
      <c r="C63">
        <v>180</v>
      </c>
      <c r="E63" t="s">
        <v>10</v>
      </c>
      <c r="F63" t="s">
        <v>283</v>
      </c>
      <c r="G63">
        <v>4</v>
      </c>
      <c r="H63">
        <v>4</v>
      </c>
      <c r="I63">
        <v>0</v>
      </c>
      <c r="J63">
        <v>1</v>
      </c>
      <c r="K63" t="s">
        <v>88</v>
      </c>
      <c r="L63" s="18">
        <v>0.61613425925925924</v>
      </c>
      <c r="M63" t="s">
        <v>88</v>
      </c>
      <c r="N63" s="18">
        <v>0.64946759259259257</v>
      </c>
      <c r="O63" t="s">
        <v>11</v>
      </c>
      <c r="P63" t="s">
        <v>14</v>
      </c>
      <c r="Q63" t="s">
        <v>13</v>
      </c>
      <c r="T63" s="18">
        <v>0</v>
      </c>
      <c r="W63" s="18">
        <v>1</v>
      </c>
      <c r="Y63">
        <v>0</v>
      </c>
      <c r="Z63">
        <v>0</v>
      </c>
      <c r="AA63">
        <v>2</v>
      </c>
      <c r="AC63">
        <v>19</v>
      </c>
    </row>
    <row r="64" spans="1:29" x14ac:dyDescent="0.25">
      <c r="A64">
        <v>134067180</v>
      </c>
      <c r="B64">
        <v>2031428175</v>
      </c>
      <c r="C64">
        <v>190</v>
      </c>
      <c r="E64" t="s">
        <v>10</v>
      </c>
      <c r="F64" t="s">
        <v>284</v>
      </c>
      <c r="G64">
        <v>4</v>
      </c>
      <c r="H64">
        <v>4</v>
      </c>
      <c r="I64">
        <v>0</v>
      </c>
      <c r="J64">
        <v>1</v>
      </c>
      <c r="K64" t="s">
        <v>88</v>
      </c>
      <c r="L64" s="18">
        <v>0.64946759259259257</v>
      </c>
      <c r="M64" t="s">
        <v>88</v>
      </c>
      <c r="N64" s="18">
        <v>0.68280092592592589</v>
      </c>
      <c r="O64" t="s">
        <v>11</v>
      </c>
      <c r="P64" t="s">
        <v>14</v>
      </c>
      <c r="Q64" t="s">
        <v>13</v>
      </c>
      <c r="T64" s="18">
        <v>0</v>
      </c>
      <c r="W64" s="18">
        <v>1</v>
      </c>
      <c r="Y64">
        <v>0</v>
      </c>
      <c r="Z64">
        <v>0</v>
      </c>
      <c r="AA64">
        <v>2</v>
      </c>
      <c r="AC64">
        <v>19</v>
      </c>
    </row>
    <row r="65" spans="1:29" x14ac:dyDescent="0.25">
      <c r="A65">
        <v>134067181</v>
      </c>
      <c r="B65">
        <v>2031428175</v>
      </c>
      <c r="C65">
        <v>200</v>
      </c>
      <c r="E65" t="s">
        <v>10</v>
      </c>
      <c r="F65" t="s">
        <v>285</v>
      </c>
      <c r="G65">
        <v>4</v>
      </c>
      <c r="H65">
        <v>4</v>
      </c>
      <c r="I65">
        <v>0</v>
      </c>
      <c r="J65">
        <v>1</v>
      </c>
      <c r="K65" t="s">
        <v>88</v>
      </c>
      <c r="L65" s="18">
        <v>0.68280092592592589</v>
      </c>
      <c r="M65" t="s">
        <v>115</v>
      </c>
      <c r="N65" s="18">
        <v>0.34113425925925928</v>
      </c>
      <c r="O65" t="s">
        <v>11</v>
      </c>
      <c r="P65" t="s">
        <v>14</v>
      </c>
      <c r="Q65" t="s">
        <v>13</v>
      </c>
      <c r="T65" s="18">
        <v>0</v>
      </c>
      <c r="W65" s="18">
        <v>1</v>
      </c>
      <c r="Y65">
        <v>0</v>
      </c>
      <c r="Z65">
        <v>0</v>
      </c>
      <c r="AA65">
        <v>2</v>
      </c>
      <c r="AC65">
        <v>19</v>
      </c>
    </row>
    <row r="66" spans="1:29" hidden="1" x14ac:dyDescent="0.25">
      <c r="L66" s="18"/>
      <c r="N66" s="18"/>
      <c r="T66" s="18"/>
      <c r="W66" s="18"/>
    </row>
    <row r="67" spans="1:29" hidden="1" x14ac:dyDescent="0.25">
      <c r="L67" s="18"/>
      <c r="N67" s="18"/>
      <c r="T67" s="18"/>
      <c r="W67" s="18"/>
    </row>
    <row r="68" spans="1:29" hidden="1" x14ac:dyDescent="0.25">
      <c r="L68" s="18"/>
      <c r="N68" s="18"/>
      <c r="T68" s="18"/>
      <c r="W68" s="18"/>
    </row>
    <row r="69" spans="1:29" x14ac:dyDescent="0.25">
      <c r="A69">
        <v>134989307</v>
      </c>
      <c r="B69">
        <v>2031515322</v>
      </c>
      <c r="C69">
        <v>5</v>
      </c>
      <c r="E69" t="s">
        <v>10</v>
      </c>
      <c r="F69" t="s">
        <v>288</v>
      </c>
      <c r="G69">
        <v>4</v>
      </c>
      <c r="H69">
        <v>32</v>
      </c>
      <c r="I69">
        <v>0</v>
      </c>
      <c r="J69">
        <v>8</v>
      </c>
      <c r="K69" t="s">
        <v>59</v>
      </c>
      <c r="L69" s="18">
        <v>0</v>
      </c>
      <c r="M69" t="s">
        <v>59</v>
      </c>
      <c r="N69" s="18">
        <v>0.33333333333333331</v>
      </c>
      <c r="O69" t="s">
        <v>39</v>
      </c>
      <c r="P69" t="s">
        <v>14</v>
      </c>
      <c r="Q69" t="s">
        <v>13</v>
      </c>
      <c r="T69" s="18">
        <v>0</v>
      </c>
      <c r="W69" s="18">
        <v>0</v>
      </c>
      <c r="Y69">
        <v>0</v>
      </c>
      <c r="Z69">
        <v>0</v>
      </c>
      <c r="AC69">
        <v>19</v>
      </c>
    </row>
    <row r="70" spans="1:29" hidden="1" x14ac:dyDescent="0.25">
      <c r="L70" s="18"/>
      <c r="N70" s="18"/>
      <c r="T70" s="18"/>
      <c r="W70" s="18"/>
    </row>
    <row r="71" spans="1:29" hidden="1" x14ac:dyDescent="0.25">
      <c r="L71" s="18"/>
      <c r="N71" s="18"/>
      <c r="T71" s="18"/>
      <c r="W71" s="18"/>
    </row>
    <row r="72" spans="1:29" hidden="1" x14ac:dyDescent="0.25">
      <c r="L72" s="18"/>
      <c r="N72" s="18"/>
      <c r="T72" s="18"/>
      <c r="W72" s="18"/>
    </row>
    <row r="73" spans="1:29" hidden="1" x14ac:dyDescent="0.25">
      <c r="L73" s="18"/>
      <c r="N73" s="18"/>
      <c r="T73" s="18"/>
      <c r="W73" s="18"/>
    </row>
    <row r="74" spans="1:29" hidden="1" x14ac:dyDescent="0.25">
      <c r="L74" s="18"/>
      <c r="N74" s="18"/>
      <c r="T74" s="18"/>
      <c r="W74" s="18"/>
    </row>
    <row r="75" spans="1:29" hidden="1" x14ac:dyDescent="0.25">
      <c r="L75" s="18"/>
      <c r="N75" s="18"/>
      <c r="T75" s="18"/>
      <c r="W75" s="19"/>
    </row>
    <row r="76" spans="1:29" hidden="1" x14ac:dyDescent="0.25">
      <c r="L76" s="18"/>
      <c r="N76" s="18"/>
      <c r="T76" s="18"/>
      <c r="W76" s="18"/>
    </row>
    <row r="77" spans="1:29" hidden="1" x14ac:dyDescent="0.25">
      <c r="L77" s="18"/>
      <c r="N77" s="18"/>
      <c r="T77" s="18"/>
      <c r="W77" s="18"/>
    </row>
    <row r="78" spans="1:29" x14ac:dyDescent="0.25">
      <c r="A78">
        <v>135001118</v>
      </c>
      <c r="B78">
        <v>2031586819</v>
      </c>
      <c r="C78">
        <v>10</v>
      </c>
      <c r="E78" t="s">
        <v>10</v>
      </c>
      <c r="F78" t="s">
        <v>297</v>
      </c>
      <c r="G78">
        <v>4</v>
      </c>
      <c r="H78">
        <v>12</v>
      </c>
      <c r="I78">
        <v>0</v>
      </c>
      <c r="J78">
        <v>3</v>
      </c>
      <c r="K78" t="s">
        <v>59</v>
      </c>
      <c r="L78" s="18">
        <v>0.3125</v>
      </c>
      <c r="M78" t="s">
        <v>59</v>
      </c>
      <c r="N78" s="18">
        <v>0.4375</v>
      </c>
      <c r="O78" t="s">
        <v>39</v>
      </c>
      <c r="P78" t="s">
        <v>14</v>
      </c>
      <c r="Q78" t="s">
        <v>13</v>
      </c>
      <c r="T78" s="18">
        <v>0</v>
      </c>
      <c r="W78" s="18">
        <v>0</v>
      </c>
      <c r="Y78">
        <v>0</v>
      </c>
      <c r="Z78">
        <v>0</v>
      </c>
      <c r="AB78" t="s">
        <v>20</v>
      </c>
      <c r="AC78">
        <v>19</v>
      </c>
    </row>
    <row r="79" spans="1:29" hidden="1" x14ac:dyDescent="0.25">
      <c r="L79" s="18"/>
      <c r="N79" s="18"/>
      <c r="T79" s="18"/>
      <c r="W79" s="18"/>
    </row>
    <row r="80" spans="1:29" hidden="1" x14ac:dyDescent="0.25">
      <c r="L80" s="18"/>
      <c r="N80" s="18"/>
      <c r="T80" s="18"/>
      <c r="W80" s="18"/>
    </row>
    <row r="81" spans="12:23" hidden="1" x14ac:dyDescent="0.25">
      <c r="L81" s="18"/>
      <c r="N81" s="18"/>
      <c r="T81" s="18"/>
      <c r="W81" s="18"/>
    </row>
    <row r="82" spans="12:23" hidden="1" x14ac:dyDescent="0.25">
      <c r="L82" s="18"/>
      <c r="N82" s="18"/>
      <c r="T82" s="18"/>
      <c r="W82" s="18"/>
    </row>
    <row r="83" spans="12:23" hidden="1" x14ac:dyDescent="0.25">
      <c r="L83" s="18"/>
      <c r="N83" s="18"/>
      <c r="T83" s="18"/>
      <c r="W83" s="18"/>
    </row>
    <row r="84" spans="12:23" hidden="1" x14ac:dyDescent="0.25">
      <c r="L84" s="18"/>
      <c r="N84" s="18"/>
      <c r="T84" s="18"/>
      <c r="W84" s="18"/>
    </row>
    <row r="85" spans="12:23" hidden="1" x14ac:dyDescent="0.25">
      <c r="L85" s="18"/>
      <c r="N85" s="18"/>
      <c r="T85" s="18"/>
      <c r="W85" s="18"/>
    </row>
    <row r="86" spans="12:23" hidden="1" x14ac:dyDescent="0.25">
      <c r="L86" s="18"/>
      <c r="N86" s="18"/>
      <c r="T86" s="18"/>
      <c r="W86" s="18"/>
    </row>
    <row r="87" spans="12:23" hidden="1" x14ac:dyDescent="0.25">
      <c r="L87" s="18"/>
      <c r="N87" s="18"/>
      <c r="T87" s="18"/>
      <c r="W87" s="18"/>
    </row>
    <row r="88" spans="12:23" hidden="1" x14ac:dyDescent="0.25">
      <c r="L88" s="18"/>
      <c r="N88" s="18"/>
      <c r="T88" s="18"/>
      <c r="W88" s="18"/>
    </row>
    <row r="89" spans="12:23" hidden="1" x14ac:dyDescent="0.25">
      <c r="L89" s="18"/>
      <c r="N89" s="18"/>
      <c r="T89" s="18"/>
      <c r="W89" s="18"/>
    </row>
    <row r="90" spans="12:23" hidden="1" x14ac:dyDescent="0.25">
      <c r="L90" s="18"/>
      <c r="N90" s="18"/>
      <c r="T90" s="18"/>
      <c r="W90" s="18"/>
    </row>
    <row r="91" spans="12:23" hidden="1" x14ac:dyDescent="0.25">
      <c r="L91" s="18"/>
      <c r="N91" s="18"/>
      <c r="T91" s="18"/>
      <c r="W91" s="18"/>
    </row>
    <row r="92" spans="12:23" hidden="1" x14ac:dyDescent="0.25">
      <c r="L92" s="18"/>
      <c r="N92" s="18"/>
      <c r="T92" s="18"/>
      <c r="W92" s="18"/>
    </row>
    <row r="93" spans="12:23" hidden="1" x14ac:dyDescent="0.25">
      <c r="L93" s="18"/>
      <c r="N93" s="18"/>
      <c r="T93" s="18"/>
      <c r="W93" s="18"/>
    </row>
    <row r="94" spans="12:23" hidden="1" x14ac:dyDescent="0.25">
      <c r="L94" s="18"/>
      <c r="N94" s="18"/>
      <c r="T94" s="18"/>
      <c r="W94" s="18"/>
    </row>
    <row r="95" spans="12:23" hidden="1" x14ac:dyDescent="0.25">
      <c r="L95" s="18"/>
      <c r="N95" s="18"/>
      <c r="T95" s="18"/>
      <c r="W95" s="18"/>
    </row>
    <row r="96" spans="12:23" hidden="1" x14ac:dyDescent="0.25">
      <c r="L96" s="18"/>
      <c r="N96" s="18"/>
      <c r="T96" s="18"/>
      <c r="W96" s="18"/>
    </row>
    <row r="97" spans="12:23" hidden="1" x14ac:dyDescent="0.25">
      <c r="L97" s="18"/>
      <c r="N97" s="18"/>
      <c r="T97" s="18"/>
      <c r="W97" s="18"/>
    </row>
    <row r="98" spans="12:23" hidden="1" x14ac:dyDescent="0.25">
      <c r="L98" s="18"/>
      <c r="N98" s="18"/>
      <c r="T98" s="18"/>
      <c r="W98" s="18"/>
    </row>
    <row r="99" spans="12:23" hidden="1" x14ac:dyDescent="0.25">
      <c r="L99" s="18"/>
      <c r="N99" s="18"/>
      <c r="T99" s="18"/>
      <c r="W99" s="18"/>
    </row>
    <row r="100" spans="12:23" hidden="1" x14ac:dyDescent="0.25">
      <c r="L100" s="18"/>
      <c r="N100" s="18"/>
      <c r="T100" s="18"/>
      <c r="W100" s="18"/>
    </row>
    <row r="101" spans="12:23" hidden="1" x14ac:dyDescent="0.25">
      <c r="L101" s="18"/>
      <c r="N101" s="18"/>
      <c r="T101" s="18"/>
      <c r="W101" s="18"/>
    </row>
    <row r="102" spans="12:23" hidden="1" x14ac:dyDescent="0.25">
      <c r="L102" s="18"/>
      <c r="N102" s="18"/>
      <c r="T102" s="18"/>
      <c r="W102" s="19"/>
    </row>
    <row r="103" spans="12:23" hidden="1" x14ac:dyDescent="0.25">
      <c r="L103" s="18"/>
      <c r="N103" s="18"/>
      <c r="T103" s="18"/>
      <c r="W103" s="19"/>
    </row>
    <row r="104" spans="12:23" hidden="1" x14ac:dyDescent="0.25">
      <c r="L104" s="18"/>
      <c r="N104" s="18"/>
      <c r="T104" s="18"/>
      <c r="W104" s="18"/>
    </row>
    <row r="105" spans="12:23" hidden="1" x14ac:dyDescent="0.25">
      <c r="L105" s="18"/>
      <c r="N105" s="18"/>
      <c r="T105" s="18"/>
      <c r="W105" s="19"/>
    </row>
    <row r="106" spans="12:23" hidden="1" x14ac:dyDescent="0.25">
      <c r="L106" s="18"/>
      <c r="N106" s="18"/>
      <c r="T106" s="18"/>
      <c r="W106" s="19"/>
    </row>
    <row r="107" spans="12:23" hidden="1" x14ac:dyDescent="0.25">
      <c r="L107" s="18"/>
      <c r="N107" s="18"/>
      <c r="T107" s="18"/>
      <c r="W107" s="18"/>
    </row>
    <row r="108" spans="12:23" hidden="1" x14ac:dyDescent="0.25">
      <c r="L108" s="18"/>
      <c r="N108" s="18"/>
      <c r="T108" s="18"/>
      <c r="W108" s="18"/>
    </row>
    <row r="109" spans="12:23" hidden="1" x14ac:dyDescent="0.25">
      <c r="L109" s="18"/>
      <c r="N109" s="18"/>
      <c r="T109" s="18"/>
      <c r="W109" s="18"/>
    </row>
    <row r="110" spans="12:23" hidden="1" x14ac:dyDescent="0.25">
      <c r="L110" s="18"/>
      <c r="N110" s="18"/>
      <c r="T110" s="18"/>
      <c r="W110" s="18"/>
    </row>
    <row r="111" spans="12:23" hidden="1" x14ac:dyDescent="0.25">
      <c r="L111" s="18"/>
      <c r="N111" s="18"/>
      <c r="T111" s="18"/>
      <c r="W111" s="18"/>
    </row>
    <row r="112" spans="12:23" hidden="1" x14ac:dyDescent="0.25">
      <c r="L112" s="18"/>
      <c r="N112" s="18"/>
      <c r="T112" s="18"/>
      <c r="W112" s="18"/>
    </row>
    <row r="113" spans="12:23" hidden="1" x14ac:dyDescent="0.25">
      <c r="L113" s="18"/>
      <c r="N113" s="18"/>
      <c r="T113" s="18"/>
      <c r="W113" s="18"/>
    </row>
    <row r="114" spans="12:23" hidden="1" x14ac:dyDescent="0.25">
      <c r="L114" s="18"/>
      <c r="N114" s="18"/>
      <c r="T114" s="18"/>
      <c r="W114" s="18"/>
    </row>
  </sheetData>
  <autoFilter ref="A1:AF114" xr:uid="{2BCEC47D-41DE-4BB3-AD6B-E0546668367F}">
    <filterColumn colId="28">
      <customFilters>
        <customFilter operator="notEqual" val=" "/>
      </customFilters>
    </filterColumn>
  </autoFilter>
  <pageMargins left="0.511811024" right="0.511811024" top="0.78740157499999996" bottom="0.78740157499999996" header="0.31496062000000002" footer="0.31496062000000002"/>
</worksheet>
</file>

<file path=docMetadata/LabelInfo.xml><?xml version="1.0" encoding="utf-8"?>
<clbl:labelList xmlns:clbl="http://schemas.microsoft.com/office/2020/mipLabelMetadata">
  <clbl:label id="{140b9f7d-8e3a-482f-9702-4b7ffc40985a}" enabled="1" method="Privileged" siteId="{5b6f6241-9a57-4be4-8e50-1dfa72e79a5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NIVELADAS</vt:lpstr>
      <vt:lpstr>AUSETU T.E</vt:lpstr>
      <vt:lpstr>CALDTU T.E</vt:lpstr>
      <vt:lpstr>MANDTU T.E</vt:lpstr>
      <vt:lpstr>AUSETU UT</vt:lpstr>
      <vt:lpstr>CALDTU UT</vt:lpstr>
      <vt:lpstr>MANDTU UT</vt:lpstr>
      <vt:lpstr>ORG</vt:lpstr>
    </vt:vector>
  </TitlesOfParts>
  <Company>Petrobras S.A.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Paulo Ricardo Oliveira Cainelles - PrestServ</dc:creator>
  <cp:lastModifiedBy>Paulo Ricardo Oliveira Cainelles - PrestServ</cp:lastModifiedBy>
  <dcterms:created xsi:type="dcterms:W3CDTF">2025-11-28T11:45:36Z</dcterms:created>
  <dcterms:modified xsi:type="dcterms:W3CDTF">2026-01-23T14:52:22Z</dcterms:modified>
</cp:coreProperties>
</file>